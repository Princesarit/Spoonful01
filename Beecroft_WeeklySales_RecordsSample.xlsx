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24A6663-ACE1-4324-962A-A51B7111B7C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come 2026" sheetId="1" r:id="rId1"/>
    <sheet name="Wage 2026" sheetId="2" r:id="rId2"/>
    <sheet name="Sum 2026" sheetId="3" r:id="rId3"/>
    <sheet name="Over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1" i="2" l="1"/>
  <c r="P270" i="2"/>
  <c r="U268" i="2"/>
  <c r="T268" i="2"/>
  <c r="R268" i="2"/>
  <c r="Q268" i="2"/>
  <c r="P268" i="2"/>
  <c r="O268" i="2"/>
  <c r="P269" i="2" s="1"/>
  <c r="N268" i="2"/>
  <c r="M268" i="2"/>
  <c r="L268" i="2"/>
  <c r="K268" i="2"/>
  <c r="J268" i="2"/>
  <c r="I268" i="2"/>
  <c r="H268" i="2"/>
  <c r="G268" i="2"/>
  <c r="F268" i="2"/>
  <c r="F269" i="2" s="1"/>
  <c r="E268" i="2"/>
  <c r="D268" i="2"/>
  <c r="C268" i="2"/>
  <c r="S267" i="2"/>
  <c r="S266" i="2"/>
  <c r="V266" i="2" s="1"/>
  <c r="S265" i="2"/>
  <c r="V265" i="2" s="1"/>
  <c r="S264" i="2"/>
  <c r="V264" i="2" s="1"/>
  <c r="S263" i="2"/>
  <c r="V263" i="2" s="1"/>
  <c r="S262" i="2"/>
  <c r="V262" i="2" s="1"/>
  <c r="S261" i="2"/>
  <c r="V261" i="2" s="1"/>
  <c r="S260" i="2"/>
  <c r="V260" i="2" s="1"/>
  <c r="S259" i="2"/>
  <c r="V259" i="2" s="1"/>
  <c r="S258" i="2"/>
  <c r="V258" i="2" s="1"/>
  <c r="S257" i="2"/>
  <c r="V257" i="2" s="1"/>
  <c r="S256" i="2"/>
  <c r="V256" i="2" s="1"/>
  <c r="S255" i="2"/>
  <c r="V255" i="2" s="1"/>
  <c r="S254" i="2"/>
  <c r="V254" i="2" s="1"/>
  <c r="S253" i="2"/>
  <c r="V253" i="2" s="1"/>
  <c r="S252" i="2"/>
  <c r="V252" i="2" s="1"/>
  <c r="AA252" i="2" s="1"/>
  <c r="S251" i="2"/>
  <c r="V251" i="2" s="1"/>
  <c r="S250" i="2"/>
  <c r="V250" i="2" s="1"/>
  <c r="S249" i="2"/>
  <c r="V249" i="2" s="1"/>
  <c r="Y249" i="2" s="1"/>
  <c r="S248" i="2"/>
  <c r="V248" i="2" s="1"/>
  <c r="S247" i="2"/>
  <c r="V247" i="2" s="1"/>
  <c r="S246" i="2"/>
  <c r="V246" i="2" s="1"/>
  <c r="N269" i="2" l="1"/>
  <c r="H269" i="2"/>
  <c r="T269" i="2"/>
  <c r="Q271" i="2"/>
  <c r="L269" i="2"/>
  <c r="J269" i="2"/>
  <c r="D269" i="2"/>
  <c r="S268" i="2"/>
  <c r="S273" i="2"/>
  <c r="V268" i="2"/>
  <c r="S272" i="2"/>
  <c r="P335" i="3" l="1"/>
  <c r="C335" i="3"/>
  <c r="C334" i="3"/>
  <c r="C336" i="3" s="1"/>
  <c r="I329" i="3"/>
  <c r="I320" i="3"/>
  <c r="I331" i="3" l="1"/>
  <c r="P294" i="3"/>
  <c r="C294" i="3"/>
  <c r="C293" i="3"/>
  <c r="I288" i="3"/>
  <c r="I279" i="3"/>
  <c r="P234" i="2"/>
  <c r="P237" i="2"/>
  <c r="P236" i="2"/>
  <c r="U234" i="2"/>
  <c r="T234" i="2"/>
  <c r="R234" i="2"/>
  <c r="Q234" i="2"/>
  <c r="O234" i="2"/>
  <c r="N234" i="2"/>
  <c r="M234" i="2"/>
  <c r="L234" i="2"/>
  <c r="K234" i="2"/>
  <c r="L235" i="2" s="1"/>
  <c r="J234" i="2"/>
  <c r="I234" i="2"/>
  <c r="H234" i="2"/>
  <c r="G234" i="2"/>
  <c r="F234" i="2"/>
  <c r="E234" i="2"/>
  <c r="D234" i="2"/>
  <c r="C234" i="2"/>
  <c r="D235" i="2" s="1"/>
  <c r="S233" i="2"/>
  <c r="S232" i="2"/>
  <c r="V232" i="2" s="1"/>
  <c r="S231" i="2"/>
  <c r="V231" i="2" s="1"/>
  <c r="S230" i="2"/>
  <c r="V230" i="2" s="1"/>
  <c r="S229" i="2"/>
  <c r="V229" i="2" s="1"/>
  <c r="S228" i="2"/>
  <c r="V228" i="2" s="1"/>
  <c r="S227" i="2"/>
  <c r="V227" i="2" s="1"/>
  <c r="S226" i="2"/>
  <c r="V226" i="2" s="1"/>
  <c r="S225" i="2"/>
  <c r="V225" i="2" s="1"/>
  <c r="S224" i="2"/>
  <c r="V224" i="2" s="1"/>
  <c r="S223" i="2"/>
  <c r="V223" i="2" s="1"/>
  <c r="S222" i="2"/>
  <c r="V222" i="2" s="1"/>
  <c r="V221" i="2"/>
  <c r="S221" i="2"/>
  <c r="S220" i="2"/>
  <c r="V220" i="2" s="1"/>
  <c r="S219" i="2"/>
  <c r="V219" i="2" s="1"/>
  <c r="S218" i="2"/>
  <c r="V218" i="2" s="1"/>
  <c r="AA218" i="2" s="1"/>
  <c r="V217" i="2"/>
  <c r="S217" i="2"/>
  <c r="S216" i="2"/>
  <c r="V216" i="2" s="1"/>
  <c r="V215" i="2"/>
  <c r="Y215" i="2" s="1"/>
  <c r="S215" i="2"/>
  <c r="S214" i="2"/>
  <c r="V214" i="2" s="1"/>
  <c r="S213" i="2"/>
  <c r="V213" i="2" s="1"/>
  <c r="S212" i="2"/>
  <c r="N235" i="2" l="1"/>
  <c r="C295" i="3"/>
  <c r="F235" i="2"/>
  <c r="I290" i="3"/>
  <c r="P235" i="2"/>
  <c r="H235" i="2"/>
  <c r="T235" i="2"/>
  <c r="J235" i="2"/>
  <c r="S239" i="2"/>
  <c r="S234" i="2"/>
  <c r="Q237" i="2"/>
  <c r="V212" i="2"/>
  <c r="V234" i="2" s="1"/>
  <c r="S238" i="2"/>
  <c r="I52" i="1" l="1"/>
  <c r="R52" i="1"/>
  <c r="AB52" i="1"/>
  <c r="AD52" i="1"/>
  <c r="AK52" i="1" s="1"/>
  <c r="AE52" i="1"/>
  <c r="AF52" i="1"/>
  <c r="AI52" i="1"/>
  <c r="AJ52" i="1"/>
  <c r="AL52" i="1"/>
  <c r="AM52" i="1"/>
  <c r="AQ52" i="1"/>
  <c r="AP52" i="1" l="1"/>
  <c r="AO52" i="1"/>
  <c r="AH52" i="1"/>
  <c r="P252" i="3"/>
  <c r="C252" i="3"/>
  <c r="C251" i="3"/>
  <c r="C253" i="3" s="1"/>
  <c r="I246" i="3"/>
  <c r="I237" i="3"/>
  <c r="P202" i="2"/>
  <c r="P201" i="2"/>
  <c r="U199" i="2"/>
  <c r="T199" i="2"/>
  <c r="R199" i="2"/>
  <c r="Q199" i="2"/>
  <c r="P199" i="2"/>
  <c r="O199" i="2"/>
  <c r="N199" i="2"/>
  <c r="M199" i="2"/>
  <c r="L199" i="2"/>
  <c r="K199" i="2"/>
  <c r="L200" i="2" s="1"/>
  <c r="J199" i="2"/>
  <c r="I199" i="2"/>
  <c r="H199" i="2"/>
  <c r="G199" i="2"/>
  <c r="H200" i="2" s="1"/>
  <c r="F199" i="2"/>
  <c r="E199" i="2"/>
  <c r="D199" i="2"/>
  <c r="C199" i="2"/>
  <c r="D200" i="2" s="1"/>
  <c r="S198" i="2"/>
  <c r="S197" i="2"/>
  <c r="S196" i="2"/>
  <c r="V196" i="2" s="1"/>
  <c r="S195" i="2"/>
  <c r="V195" i="2" s="1"/>
  <c r="S194" i="2"/>
  <c r="V194" i="2" s="1"/>
  <c r="S193" i="2"/>
  <c r="V193" i="2" s="1"/>
  <c r="V192" i="2"/>
  <c r="S192" i="2"/>
  <c r="S191" i="2"/>
  <c r="V191" i="2" s="1"/>
  <c r="S190" i="2"/>
  <c r="V190" i="2" s="1"/>
  <c r="S189" i="2"/>
  <c r="V189" i="2" s="1"/>
  <c r="S188" i="2"/>
  <c r="V188" i="2" s="1"/>
  <c r="S187" i="2"/>
  <c r="V187" i="2" s="1"/>
  <c r="V186" i="2"/>
  <c r="S186" i="2"/>
  <c r="S185" i="2"/>
  <c r="V185" i="2" s="1"/>
  <c r="S184" i="2"/>
  <c r="V184" i="2" s="1"/>
  <c r="V183" i="2"/>
  <c r="S183" i="2"/>
  <c r="S182" i="2"/>
  <c r="V182" i="2" s="1"/>
  <c r="S181" i="2"/>
  <c r="V181" i="2" s="1"/>
  <c r="S180" i="2"/>
  <c r="V180" i="2" s="1"/>
  <c r="Y180" i="2" s="1"/>
  <c r="S179" i="2"/>
  <c r="V179" i="2" s="1"/>
  <c r="S178" i="2"/>
  <c r="V178" i="2" s="1"/>
  <c r="S177" i="2"/>
  <c r="S199" i="2" l="1"/>
  <c r="F200" i="2"/>
  <c r="N200" i="2"/>
  <c r="T200" i="2"/>
  <c r="J200" i="2"/>
  <c r="P200" i="2"/>
  <c r="I248" i="3"/>
  <c r="Q202" i="2"/>
  <c r="S204" i="2"/>
  <c r="V177" i="2"/>
  <c r="V199" i="2" s="1"/>
  <c r="S203" i="2"/>
  <c r="I204" i="3"/>
  <c r="S160" i="2"/>
  <c r="AA35" i="2" l="1"/>
  <c r="P210" i="3"/>
  <c r="S144" i="2"/>
  <c r="P167" i="2" l="1"/>
  <c r="P166" i="2"/>
  <c r="R164" i="2"/>
  <c r="S158" i="2"/>
  <c r="S153" i="2"/>
  <c r="S154" i="2"/>
  <c r="S155" i="2"/>
  <c r="S156" i="2"/>
  <c r="S157" i="2"/>
  <c r="S159" i="2"/>
  <c r="S161" i="2"/>
  <c r="S162" i="2"/>
  <c r="S163" i="2"/>
  <c r="S143" i="2"/>
  <c r="V144" i="2"/>
  <c r="S145" i="2"/>
  <c r="S146" i="2"/>
  <c r="S147" i="2"/>
  <c r="S148" i="2"/>
  <c r="S149" i="2"/>
  <c r="S150" i="2"/>
  <c r="S151" i="2"/>
  <c r="S152" i="2"/>
  <c r="S142" i="2"/>
  <c r="S164" i="2" l="1"/>
  <c r="C210" i="3"/>
  <c r="C209" i="3"/>
  <c r="C211" i="3" s="1"/>
  <c r="I195" i="3"/>
  <c r="U164" i="2"/>
  <c r="T164" i="2"/>
  <c r="Q164" i="2"/>
  <c r="P164" i="2"/>
  <c r="O164" i="2"/>
  <c r="P165" i="2" s="1"/>
  <c r="N164" i="2"/>
  <c r="M164" i="2"/>
  <c r="L164" i="2"/>
  <c r="K164" i="2"/>
  <c r="J164" i="2"/>
  <c r="I164" i="2"/>
  <c r="H164" i="2"/>
  <c r="G164" i="2"/>
  <c r="F164" i="2"/>
  <c r="E164" i="2"/>
  <c r="D164" i="2"/>
  <c r="C164" i="2"/>
  <c r="S168" i="2" s="1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Y145" i="2" s="1"/>
  <c r="V143" i="2"/>
  <c r="V142" i="2"/>
  <c r="AA75" i="1"/>
  <c r="Z75" i="1"/>
  <c r="X75" i="1"/>
  <c r="W75" i="1"/>
  <c r="V75" i="1"/>
  <c r="U75" i="1"/>
  <c r="T75" i="1"/>
  <c r="Q75" i="1"/>
  <c r="P75" i="1"/>
  <c r="N75" i="1"/>
  <c r="M75" i="1"/>
  <c r="L75" i="1"/>
  <c r="K75" i="1"/>
  <c r="J75" i="1"/>
  <c r="E75" i="1"/>
  <c r="D75" i="1"/>
  <c r="C75" i="1"/>
  <c r="AZ74" i="1"/>
  <c r="AX74" i="1"/>
  <c r="AW74" i="1"/>
  <c r="AQ74" i="1"/>
  <c r="BG74" i="1" s="1"/>
  <c r="AM74" i="1"/>
  <c r="AL74" i="1"/>
  <c r="AK74" i="1"/>
  <c r="AJ74" i="1"/>
  <c r="AP74" i="1" s="1"/>
  <c r="AI74" i="1"/>
  <c r="AF74" i="1"/>
  <c r="AE74" i="1"/>
  <c r="AD74" i="1"/>
  <c r="AB74" i="1"/>
  <c r="BA74" i="1" s="1"/>
  <c r="R74" i="1"/>
  <c r="AO74" i="1" s="1"/>
  <c r="I74" i="1"/>
  <c r="AZ73" i="1"/>
  <c r="AX73" i="1"/>
  <c r="AW73" i="1"/>
  <c r="AQ73" i="1"/>
  <c r="BG73" i="1" s="1"/>
  <c r="AP73" i="1"/>
  <c r="AM73" i="1"/>
  <c r="AL73" i="1"/>
  <c r="AJ73" i="1"/>
  <c r="AI73" i="1"/>
  <c r="AF73" i="1"/>
  <c r="AE73" i="1"/>
  <c r="AD73" i="1"/>
  <c r="AK73" i="1" s="1"/>
  <c r="AB73" i="1"/>
  <c r="BA73" i="1" s="1"/>
  <c r="BC73" i="1" s="1"/>
  <c r="R73" i="1"/>
  <c r="AO73" i="1" s="1"/>
  <c r="I73" i="1"/>
  <c r="AZ72" i="1"/>
  <c r="AY72" i="1"/>
  <c r="AX72" i="1"/>
  <c r="BB72" i="1" s="1"/>
  <c r="AW72" i="1"/>
  <c r="AQ72" i="1"/>
  <c r="BG72" i="1" s="1"/>
  <c r="AM72" i="1"/>
  <c r="AL72" i="1"/>
  <c r="AJ72" i="1"/>
  <c r="AI72" i="1"/>
  <c r="AP72" i="1" s="1"/>
  <c r="AF72" i="1"/>
  <c r="AE72" i="1"/>
  <c r="AD72" i="1"/>
  <c r="AK72" i="1" s="1"/>
  <c r="AB72" i="1"/>
  <c r="AH72" i="1" s="1"/>
  <c r="R72" i="1"/>
  <c r="I72" i="1"/>
  <c r="AZ71" i="1"/>
  <c r="AX71" i="1"/>
  <c r="AW71" i="1"/>
  <c r="AQ71" i="1"/>
  <c r="BG71" i="1" s="1"/>
  <c r="AM71" i="1"/>
  <c r="AL71" i="1"/>
  <c r="AK71" i="1"/>
  <c r="AJ71" i="1"/>
  <c r="AP71" i="1" s="1"/>
  <c r="AI71" i="1"/>
  <c r="AF71" i="1"/>
  <c r="AE71" i="1"/>
  <c r="AD71" i="1"/>
  <c r="AB71" i="1"/>
  <c r="R71" i="1"/>
  <c r="AO71" i="1" s="1"/>
  <c r="I71" i="1"/>
  <c r="AZ70" i="1"/>
  <c r="AY70" i="1"/>
  <c r="AX70" i="1"/>
  <c r="AW70" i="1"/>
  <c r="AQ70" i="1"/>
  <c r="BG70" i="1" s="1"/>
  <c r="AM70" i="1"/>
  <c r="AL70" i="1"/>
  <c r="AJ70" i="1"/>
  <c r="AI70" i="1"/>
  <c r="AP70" i="1" s="1"/>
  <c r="AF70" i="1"/>
  <c r="AE70" i="1"/>
  <c r="AD70" i="1"/>
  <c r="AK70" i="1" s="1"/>
  <c r="AB70" i="1"/>
  <c r="BA70" i="1" s="1"/>
  <c r="BC70" i="1" s="1"/>
  <c r="R70" i="1"/>
  <c r="I70" i="1"/>
  <c r="AZ69" i="1"/>
  <c r="AX69" i="1"/>
  <c r="AW69" i="1"/>
  <c r="AQ69" i="1"/>
  <c r="BG69" i="1" s="1"/>
  <c r="AM69" i="1"/>
  <c r="AL69" i="1"/>
  <c r="AK69" i="1"/>
  <c r="AJ69" i="1"/>
  <c r="AI69" i="1"/>
  <c r="AP69" i="1" s="1"/>
  <c r="AS70" i="1" s="1"/>
  <c r="AS71" i="1" s="1"/>
  <c r="AF69" i="1"/>
  <c r="AE69" i="1"/>
  <c r="AD69" i="1"/>
  <c r="AB69" i="1"/>
  <c r="BA69" i="1" s="1"/>
  <c r="BC69" i="1" s="1"/>
  <c r="R69" i="1"/>
  <c r="I69" i="1"/>
  <c r="AZ68" i="1"/>
  <c r="AX68" i="1"/>
  <c r="AW68" i="1"/>
  <c r="AQ68" i="1"/>
  <c r="AM68" i="1"/>
  <c r="AM75" i="1" s="1"/>
  <c r="AR74" i="1" s="1"/>
  <c r="AR75" i="1" s="1"/>
  <c r="AL68" i="1"/>
  <c r="AJ68" i="1"/>
  <c r="AI68" i="1"/>
  <c r="AP68" i="1" s="1"/>
  <c r="AF68" i="1"/>
  <c r="AE68" i="1"/>
  <c r="AD68" i="1"/>
  <c r="AK68" i="1" s="1"/>
  <c r="AB68" i="1"/>
  <c r="R68" i="1"/>
  <c r="R75" i="1" s="1"/>
  <c r="I68" i="1"/>
  <c r="AA67" i="1"/>
  <c r="Z67" i="1"/>
  <c r="X67" i="1"/>
  <c r="W67" i="1"/>
  <c r="V67" i="1"/>
  <c r="U67" i="1"/>
  <c r="T67" i="1"/>
  <c r="Q67" i="1"/>
  <c r="P67" i="1"/>
  <c r="N67" i="1"/>
  <c r="M67" i="1"/>
  <c r="L67" i="1"/>
  <c r="K67" i="1"/>
  <c r="J67" i="1"/>
  <c r="E67" i="1"/>
  <c r="D67" i="1"/>
  <c r="C67" i="1"/>
  <c r="AZ66" i="1"/>
  <c r="AX66" i="1"/>
  <c r="AW66" i="1"/>
  <c r="AQ66" i="1"/>
  <c r="BG66" i="1" s="1"/>
  <c r="AM66" i="1"/>
  <c r="AL66" i="1"/>
  <c r="AJ66" i="1"/>
  <c r="AI66" i="1"/>
  <c r="AF66" i="1"/>
  <c r="AE66" i="1"/>
  <c r="AD66" i="1"/>
  <c r="AK66" i="1" s="1"/>
  <c r="AB66" i="1"/>
  <c r="BA66" i="1" s="1"/>
  <c r="R66" i="1"/>
  <c r="I66" i="1"/>
  <c r="AZ65" i="1"/>
  <c r="AX65" i="1"/>
  <c r="AW65" i="1"/>
  <c r="AQ65" i="1"/>
  <c r="BG65" i="1" s="1"/>
  <c r="AM65" i="1"/>
  <c r="AL65" i="1"/>
  <c r="AJ65" i="1"/>
  <c r="AI65" i="1"/>
  <c r="AP65" i="1" s="1"/>
  <c r="AF65" i="1"/>
  <c r="AE65" i="1"/>
  <c r="AD65" i="1"/>
  <c r="AK65" i="1" s="1"/>
  <c r="AB65" i="1"/>
  <c r="BA65" i="1" s="1"/>
  <c r="R65" i="1"/>
  <c r="I65" i="1"/>
  <c r="AZ64" i="1"/>
  <c r="AX64" i="1"/>
  <c r="AW64" i="1"/>
  <c r="AQ64" i="1"/>
  <c r="BG64" i="1" s="1"/>
  <c r="AM64" i="1"/>
  <c r="AL64" i="1"/>
  <c r="AJ64" i="1"/>
  <c r="AI64" i="1"/>
  <c r="AP64" i="1" s="1"/>
  <c r="AF64" i="1"/>
  <c r="AE64" i="1"/>
  <c r="AD64" i="1"/>
  <c r="AK64" i="1" s="1"/>
  <c r="AB64" i="1"/>
  <c r="BA64" i="1" s="1"/>
  <c r="BC64" i="1" s="1"/>
  <c r="R64" i="1"/>
  <c r="I64" i="1"/>
  <c r="AZ63" i="1"/>
  <c r="AX63" i="1"/>
  <c r="AW63" i="1"/>
  <c r="AQ63" i="1"/>
  <c r="BG63" i="1" s="1"/>
  <c r="AM63" i="1"/>
  <c r="AL63" i="1"/>
  <c r="AJ63" i="1"/>
  <c r="AI63" i="1"/>
  <c r="AF63" i="1"/>
  <c r="AE63" i="1"/>
  <c r="AD63" i="1"/>
  <c r="AK63" i="1" s="1"/>
  <c r="AB63" i="1"/>
  <c r="R63" i="1"/>
  <c r="I63" i="1"/>
  <c r="AZ62" i="1"/>
  <c r="AY62" i="1"/>
  <c r="BE62" i="1" s="1"/>
  <c r="AX62" i="1"/>
  <c r="AW62" i="1"/>
  <c r="AQ62" i="1"/>
  <c r="BG62" i="1" s="1"/>
  <c r="AM62" i="1"/>
  <c r="AL62" i="1"/>
  <c r="AJ62" i="1"/>
  <c r="AI62" i="1"/>
  <c r="AF62" i="1"/>
  <c r="AE62" i="1"/>
  <c r="AD62" i="1"/>
  <c r="AK62" i="1" s="1"/>
  <c r="AB62" i="1"/>
  <c r="BA62" i="1" s="1"/>
  <c r="BC62" i="1" s="1"/>
  <c r="R62" i="1"/>
  <c r="AO62" i="1" s="1"/>
  <c r="I62" i="1"/>
  <c r="AZ61" i="1"/>
  <c r="AX61" i="1"/>
  <c r="AW61" i="1"/>
  <c r="AQ61" i="1"/>
  <c r="BG61" i="1" s="1"/>
  <c r="AM61" i="1"/>
  <c r="AL61" i="1"/>
  <c r="AJ61" i="1"/>
  <c r="AI61" i="1"/>
  <c r="AP61" i="1" s="1"/>
  <c r="AF61" i="1"/>
  <c r="AE61" i="1"/>
  <c r="AD61" i="1"/>
  <c r="AK61" i="1" s="1"/>
  <c r="AB61" i="1"/>
  <c r="BA61" i="1" s="1"/>
  <c r="R61" i="1"/>
  <c r="I61" i="1"/>
  <c r="AZ60" i="1"/>
  <c r="AX60" i="1"/>
  <c r="AW60" i="1"/>
  <c r="AQ60" i="1"/>
  <c r="AM60" i="1"/>
  <c r="AL60" i="1"/>
  <c r="AJ60" i="1"/>
  <c r="AI60" i="1"/>
  <c r="AP60" i="1" s="1"/>
  <c r="AF60" i="1"/>
  <c r="AE60" i="1"/>
  <c r="AD60" i="1"/>
  <c r="AK60" i="1" s="1"/>
  <c r="AB60" i="1"/>
  <c r="R60" i="1"/>
  <c r="I60" i="1"/>
  <c r="AA59" i="1"/>
  <c r="Z59" i="1"/>
  <c r="X59" i="1"/>
  <c r="W59" i="1"/>
  <c r="V59" i="1"/>
  <c r="U59" i="1"/>
  <c r="T59" i="1"/>
  <c r="Q59" i="1"/>
  <c r="P59" i="1"/>
  <c r="N59" i="1"/>
  <c r="M59" i="1"/>
  <c r="L59" i="1"/>
  <c r="K59" i="1"/>
  <c r="J59" i="1"/>
  <c r="E59" i="1"/>
  <c r="D59" i="1"/>
  <c r="C59" i="1"/>
  <c r="AZ58" i="1"/>
  <c r="AX58" i="1"/>
  <c r="AW58" i="1"/>
  <c r="AQ58" i="1"/>
  <c r="BG58" i="1" s="1"/>
  <c r="AM58" i="1"/>
  <c r="AL58" i="1"/>
  <c r="AJ58" i="1"/>
  <c r="AI58" i="1"/>
  <c r="AF58" i="1"/>
  <c r="AE58" i="1"/>
  <c r="AD58" i="1"/>
  <c r="AK58" i="1" s="1"/>
  <c r="AB58" i="1"/>
  <c r="BA58" i="1" s="1"/>
  <c r="R58" i="1"/>
  <c r="AY58" i="1" s="1"/>
  <c r="I58" i="1"/>
  <c r="AZ57" i="1"/>
  <c r="AX57" i="1"/>
  <c r="AW57" i="1"/>
  <c r="AQ57" i="1"/>
  <c r="BG57" i="1" s="1"/>
  <c r="AM57" i="1"/>
  <c r="AL57" i="1"/>
  <c r="AJ57" i="1"/>
  <c r="AI57" i="1"/>
  <c r="AP57" i="1" s="1"/>
  <c r="AF57" i="1"/>
  <c r="AE57" i="1"/>
  <c r="AD57" i="1"/>
  <c r="AK57" i="1" s="1"/>
  <c r="AB57" i="1"/>
  <c r="BA57" i="1" s="1"/>
  <c r="R57" i="1"/>
  <c r="AY57" i="1" s="1"/>
  <c r="I57" i="1"/>
  <c r="AZ56" i="1"/>
  <c r="AX56" i="1"/>
  <c r="AW56" i="1"/>
  <c r="AQ56" i="1"/>
  <c r="BG56" i="1" s="1"/>
  <c r="AM56" i="1"/>
  <c r="AL56" i="1"/>
  <c r="AJ56" i="1"/>
  <c r="AI56" i="1"/>
  <c r="AF56" i="1"/>
  <c r="AE56" i="1"/>
  <c r="AD56" i="1"/>
  <c r="AK56" i="1" s="1"/>
  <c r="AB56" i="1"/>
  <c r="BA56" i="1" s="1"/>
  <c r="R56" i="1"/>
  <c r="AY56" i="1" s="1"/>
  <c r="I56" i="1"/>
  <c r="AZ55" i="1"/>
  <c r="AX55" i="1"/>
  <c r="AW55" i="1"/>
  <c r="AQ55" i="1"/>
  <c r="BG55" i="1" s="1"/>
  <c r="AM55" i="1"/>
  <c r="AL55" i="1"/>
  <c r="AJ55" i="1"/>
  <c r="AI55" i="1"/>
  <c r="AF55" i="1"/>
  <c r="AE55" i="1"/>
  <c r="AD55" i="1"/>
  <c r="AK55" i="1" s="1"/>
  <c r="AB55" i="1"/>
  <c r="BA55" i="1" s="1"/>
  <c r="R55" i="1"/>
  <c r="AY55" i="1" s="1"/>
  <c r="BE55" i="1" s="1"/>
  <c r="I55" i="1"/>
  <c r="AZ54" i="1"/>
  <c r="AX54" i="1"/>
  <c r="AW54" i="1"/>
  <c r="AQ54" i="1"/>
  <c r="BG54" i="1" s="1"/>
  <c r="AM54" i="1"/>
  <c r="AL54" i="1"/>
  <c r="AJ54" i="1"/>
  <c r="AI54" i="1"/>
  <c r="AF54" i="1"/>
  <c r="AE54" i="1"/>
  <c r="AD54" i="1"/>
  <c r="AK54" i="1" s="1"/>
  <c r="AB54" i="1"/>
  <c r="BA54" i="1" s="1"/>
  <c r="R54" i="1"/>
  <c r="AY54" i="1" s="1"/>
  <c r="I54" i="1"/>
  <c r="AZ53" i="1"/>
  <c r="AX53" i="1"/>
  <c r="AW53" i="1"/>
  <c r="AQ53" i="1"/>
  <c r="BG53" i="1" s="1"/>
  <c r="AM53" i="1"/>
  <c r="AL53" i="1"/>
  <c r="AJ53" i="1"/>
  <c r="AI53" i="1"/>
  <c r="AP53" i="1" s="1"/>
  <c r="AF53" i="1"/>
  <c r="AE53" i="1"/>
  <c r="AD53" i="1"/>
  <c r="AK53" i="1" s="1"/>
  <c r="AB53" i="1"/>
  <c r="R53" i="1"/>
  <c r="AY53" i="1" s="1"/>
  <c r="I53" i="1"/>
  <c r="BG52" i="1"/>
  <c r="AZ52" i="1"/>
  <c r="AX52" i="1"/>
  <c r="AW52" i="1"/>
  <c r="AS72" i="1" l="1"/>
  <c r="AS73" i="1" s="1"/>
  <c r="AS74" i="1" s="1"/>
  <c r="AP56" i="1"/>
  <c r="AO68" i="1"/>
  <c r="AO70" i="1"/>
  <c r="AQ75" i="1"/>
  <c r="BB70" i="1"/>
  <c r="F75" i="1"/>
  <c r="BE70" i="1"/>
  <c r="AX75" i="1"/>
  <c r="AD75" i="1"/>
  <c r="S169" i="2"/>
  <c r="AP62" i="1"/>
  <c r="AP67" i="1" s="1"/>
  <c r="AB75" i="1"/>
  <c r="AI75" i="1"/>
  <c r="AK75" i="1"/>
  <c r="BA68" i="1"/>
  <c r="BC68" i="1" s="1"/>
  <c r="AY73" i="1"/>
  <c r="BB73" i="1" s="1"/>
  <c r="F165" i="2"/>
  <c r="AE75" i="1"/>
  <c r="AH71" i="1"/>
  <c r="BB71" i="1"/>
  <c r="AZ75" i="1"/>
  <c r="BD56" i="1"/>
  <c r="AF75" i="1"/>
  <c r="AO69" i="1"/>
  <c r="AY71" i="1"/>
  <c r="BD74" i="1"/>
  <c r="AJ75" i="1"/>
  <c r="AY69" i="1"/>
  <c r="BB69" i="1" s="1"/>
  <c r="BD58" i="1"/>
  <c r="AL75" i="1"/>
  <c r="AO72" i="1"/>
  <c r="AO75" i="1" s="1"/>
  <c r="V164" i="2"/>
  <c r="L165" i="2"/>
  <c r="AO66" i="1"/>
  <c r="AP66" i="1"/>
  <c r="BC65" i="1"/>
  <c r="AO65" i="1"/>
  <c r="AY65" i="1"/>
  <c r="BE65" i="1" s="1"/>
  <c r="AO64" i="1"/>
  <c r="AY64" i="1"/>
  <c r="BB64" i="1" s="1"/>
  <c r="AP63" i="1"/>
  <c r="AO63" i="1"/>
  <c r="AH63" i="1"/>
  <c r="R67" i="1"/>
  <c r="AY63" i="1"/>
  <c r="BB63" i="1" s="1"/>
  <c r="AF67" i="1"/>
  <c r="AM67" i="1"/>
  <c r="AR66" i="1" s="1"/>
  <c r="AR67" i="1" s="1"/>
  <c r="BB62" i="1"/>
  <c r="AJ67" i="1"/>
  <c r="AB67" i="1"/>
  <c r="AE67" i="1"/>
  <c r="AL67" i="1"/>
  <c r="AO61" i="1"/>
  <c r="AO67" i="1" s="1"/>
  <c r="BC61" i="1"/>
  <c r="AQ67" i="1"/>
  <c r="AY61" i="1"/>
  <c r="BE61" i="1" s="1"/>
  <c r="F67" i="1"/>
  <c r="I67" i="1" s="1"/>
  <c r="AD67" i="1"/>
  <c r="BA60" i="1"/>
  <c r="BC60" i="1" s="1"/>
  <c r="AZ67" i="1"/>
  <c r="AI67" i="1"/>
  <c r="AO60" i="1"/>
  <c r="BE58" i="1"/>
  <c r="AP58" i="1"/>
  <c r="AE59" i="1"/>
  <c r="BC58" i="1"/>
  <c r="BF58" i="1"/>
  <c r="AJ59" i="1"/>
  <c r="BC57" i="1"/>
  <c r="BE57" i="1"/>
  <c r="BB57" i="1"/>
  <c r="BD57" i="1"/>
  <c r="BC56" i="1"/>
  <c r="AB59" i="1"/>
  <c r="AM59" i="1"/>
  <c r="AR58" i="1" s="1"/>
  <c r="AR59" i="1" s="1"/>
  <c r="AF59" i="1"/>
  <c r="BB56" i="1"/>
  <c r="AP55" i="1"/>
  <c r="AL59" i="1"/>
  <c r="BC55" i="1"/>
  <c r="BD55" i="1"/>
  <c r="BB55" i="1"/>
  <c r="AP54" i="1"/>
  <c r="BC54" i="1"/>
  <c r="AK59" i="1"/>
  <c r="BE54" i="1"/>
  <c r="BD54" i="1"/>
  <c r="BB54" i="1"/>
  <c r="F59" i="1"/>
  <c r="I59" i="1" s="1"/>
  <c r="AQ59" i="1"/>
  <c r="BG59" i="1"/>
  <c r="AZ59" i="1"/>
  <c r="AI59" i="1"/>
  <c r="R59" i="1"/>
  <c r="AX59" i="1"/>
  <c r="AH53" i="1"/>
  <c r="BD53" i="1"/>
  <c r="AD59" i="1"/>
  <c r="BB53" i="1"/>
  <c r="J165" i="2"/>
  <c r="D165" i="2"/>
  <c r="T165" i="2"/>
  <c r="N165" i="2"/>
  <c r="I206" i="3"/>
  <c r="H165" i="2"/>
  <c r="Q167" i="2"/>
  <c r="AP75" i="1"/>
  <c r="AS75" i="1" s="1"/>
  <c r="AS69" i="1"/>
  <c r="BE69" i="1"/>
  <c r="BE73" i="1"/>
  <c r="BC74" i="1"/>
  <c r="BE71" i="1"/>
  <c r="I75" i="1"/>
  <c r="AH69" i="1"/>
  <c r="AH74" i="1"/>
  <c r="AY68" i="1"/>
  <c r="BG68" i="1"/>
  <c r="BG75" i="1" s="1"/>
  <c r="BD69" i="1"/>
  <c r="BD70" i="1"/>
  <c r="BF70" i="1" s="1"/>
  <c r="BD71" i="1"/>
  <c r="BD72" i="1"/>
  <c r="BD73" i="1"/>
  <c r="BF73" i="1" s="1"/>
  <c r="AY74" i="1"/>
  <c r="BE74" i="1" s="1"/>
  <c r="BF74" i="1" s="1"/>
  <c r="BB68" i="1"/>
  <c r="AH70" i="1"/>
  <c r="AH73" i="1"/>
  <c r="AH68" i="1"/>
  <c r="BD68" i="1"/>
  <c r="BA71" i="1"/>
  <c r="BC71" i="1" s="1"/>
  <c r="BA72" i="1"/>
  <c r="BC72" i="1" s="1"/>
  <c r="AS61" i="1"/>
  <c r="BE64" i="1"/>
  <c r="BC66" i="1"/>
  <c r="AK67" i="1"/>
  <c r="AH61" i="1"/>
  <c r="AH64" i="1"/>
  <c r="AH65" i="1"/>
  <c r="AY60" i="1"/>
  <c r="BG60" i="1"/>
  <c r="BG67" i="1" s="1"/>
  <c r="BD61" i="1"/>
  <c r="BD62" i="1"/>
  <c r="BF62" i="1" s="1"/>
  <c r="BD63" i="1"/>
  <c r="BD64" i="1"/>
  <c r="BD65" i="1"/>
  <c r="AY66" i="1"/>
  <c r="BE66" i="1" s="1"/>
  <c r="AH62" i="1"/>
  <c r="AH66" i="1"/>
  <c r="AH60" i="1"/>
  <c r="BD60" i="1"/>
  <c r="BA63" i="1"/>
  <c r="BC63" i="1" s="1"/>
  <c r="BD66" i="1"/>
  <c r="AX67" i="1"/>
  <c r="BF55" i="1"/>
  <c r="AS54" i="1"/>
  <c r="BE56" i="1"/>
  <c r="BF56" i="1" s="1"/>
  <c r="AH54" i="1"/>
  <c r="AH55" i="1"/>
  <c r="AH56" i="1"/>
  <c r="AH57" i="1"/>
  <c r="AH58" i="1"/>
  <c r="AY52" i="1"/>
  <c r="BB52" i="1" s="1"/>
  <c r="AO53" i="1"/>
  <c r="BA53" i="1"/>
  <c r="BC53" i="1" s="1"/>
  <c r="AO55" i="1"/>
  <c r="AO57" i="1"/>
  <c r="BB58" i="1"/>
  <c r="BD52" i="1"/>
  <c r="AO54" i="1"/>
  <c r="AO56" i="1"/>
  <c r="AO58" i="1"/>
  <c r="BA52" i="1"/>
  <c r="R107" i="2"/>
  <c r="U107" i="2" s="1"/>
  <c r="BF71" i="1" l="1"/>
  <c r="BA75" i="1"/>
  <c r="BF54" i="1"/>
  <c r="AS55" i="1"/>
  <c r="AS56" i="1" s="1"/>
  <c r="AS57" i="1" s="1"/>
  <c r="AS58" i="1" s="1"/>
  <c r="BC75" i="1"/>
  <c r="AS62" i="1"/>
  <c r="AS63" i="1" s="1"/>
  <c r="AS64" i="1" s="1"/>
  <c r="AS65" i="1" s="1"/>
  <c r="AS66" i="1" s="1"/>
  <c r="AH75" i="1"/>
  <c r="BF65" i="1"/>
  <c r="BB65" i="1"/>
  <c r="AS67" i="1"/>
  <c r="BF61" i="1"/>
  <c r="BB61" i="1"/>
  <c r="BC67" i="1"/>
  <c r="BF57" i="1"/>
  <c r="AO59" i="1"/>
  <c r="BF69" i="1"/>
  <c r="BE72" i="1"/>
  <c r="BF72" i="1" s="1"/>
  <c r="BD75" i="1"/>
  <c r="AY75" i="1"/>
  <c r="BE68" i="1"/>
  <c r="BE75" i="1" s="1"/>
  <c r="BB74" i="1"/>
  <c r="BB75" i="1" s="1"/>
  <c r="BD67" i="1"/>
  <c r="AH67" i="1"/>
  <c r="BB66" i="1"/>
  <c r="AY67" i="1"/>
  <c r="BE60" i="1"/>
  <c r="BA67" i="1"/>
  <c r="BF66" i="1"/>
  <c r="BF64" i="1"/>
  <c r="BB60" i="1"/>
  <c r="BE63" i="1"/>
  <c r="BF63" i="1" s="1"/>
  <c r="AP59" i="1"/>
  <c r="AS59" i="1" s="1"/>
  <c r="AS53" i="1"/>
  <c r="BB59" i="1"/>
  <c r="BE53" i="1"/>
  <c r="BF53" i="1" s="1"/>
  <c r="AH59" i="1"/>
  <c r="BC52" i="1"/>
  <c r="BC59" i="1" s="1"/>
  <c r="BA59" i="1"/>
  <c r="BD59" i="1"/>
  <c r="AY59" i="1"/>
  <c r="BE52" i="1"/>
  <c r="P167" i="3"/>
  <c r="C167" i="3"/>
  <c r="C166" i="3"/>
  <c r="C168" i="3" s="1"/>
  <c r="I161" i="3"/>
  <c r="I152" i="3"/>
  <c r="BF68" i="1" l="1"/>
  <c r="BF75" i="1"/>
  <c r="BH69" i="1"/>
  <c r="BH70" i="1" s="1"/>
  <c r="BH71" i="1" s="1"/>
  <c r="BH72" i="1" s="1"/>
  <c r="BH73" i="1" s="1"/>
  <c r="BH74" i="1" s="1"/>
  <c r="BE67" i="1"/>
  <c r="BF60" i="1"/>
  <c r="BB67" i="1"/>
  <c r="BE59" i="1"/>
  <c r="BF52" i="1"/>
  <c r="I163" i="3"/>
  <c r="T129" i="2"/>
  <c r="R108" i="2"/>
  <c r="R109" i="2"/>
  <c r="U109" i="2" s="1"/>
  <c r="P132" i="2"/>
  <c r="P131" i="2"/>
  <c r="S129" i="2"/>
  <c r="Q129" i="2"/>
  <c r="P129" i="2"/>
  <c r="O129" i="2"/>
  <c r="N129" i="2"/>
  <c r="M129" i="2"/>
  <c r="N130" i="2" s="1"/>
  <c r="L129" i="2"/>
  <c r="K129" i="2"/>
  <c r="J129" i="2"/>
  <c r="I129" i="2"/>
  <c r="J130" i="2" s="1"/>
  <c r="H129" i="2"/>
  <c r="G129" i="2"/>
  <c r="F129" i="2"/>
  <c r="E129" i="2"/>
  <c r="D129" i="2"/>
  <c r="C129" i="2"/>
  <c r="R128" i="2"/>
  <c r="R127" i="2"/>
  <c r="R126" i="2"/>
  <c r="U126" i="2" s="1"/>
  <c r="R125" i="2"/>
  <c r="U125" i="2" s="1"/>
  <c r="R124" i="2"/>
  <c r="U124" i="2" s="1"/>
  <c r="R123" i="2"/>
  <c r="U123" i="2" s="1"/>
  <c r="R122" i="2"/>
  <c r="U122" i="2" s="1"/>
  <c r="R121" i="2"/>
  <c r="U121" i="2" s="1"/>
  <c r="R120" i="2"/>
  <c r="U120" i="2" s="1"/>
  <c r="R119" i="2"/>
  <c r="U119" i="2" s="1"/>
  <c r="R118" i="2"/>
  <c r="U118" i="2" s="1"/>
  <c r="R117" i="2"/>
  <c r="U117" i="2" s="1"/>
  <c r="R116" i="2"/>
  <c r="U116" i="2" s="1"/>
  <c r="R115" i="2"/>
  <c r="U115" i="2" s="1"/>
  <c r="R114" i="2"/>
  <c r="U114" i="2" s="1"/>
  <c r="R113" i="2"/>
  <c r="U113" i="2" s="1"/>
  <c r="R112" i="2"/>
  <c r="U112" i="2" s="1"/>
  <c r="R111" i="2"/>
  <c r="U111" i="2" s="1"/>
  <c r="R110" i="2"/>
  <c r="U110" i="2" s="1"/>
  <c r="X110" i="2" s="1"/>
  <c r="S130" i="2" l="1"/>
  <c r="U108" i="2"/>
  <c r="U129" i="2" s="1"/>
  <c r="R129" i="2"/>
  <c r="D130" i="2"/>
  <c r="L130" i="2"/>
  <c r="BF67" i="1"/>
  <c r="BH61" i="1"/>
  <c r="BH62" i="1" s="1"/>
  <c r="BH63" i="1" s="1"/>
  <c r="BH64" i="1" s="1"/>
  <c r="BH65" i="1" s="1"/>
  <c r="BH66" i="1" s="1"/>
  <c r="BF59" i="1"/>
  <c r="BH53" i="1"/>
  <c r="BH54" i="1" s="1"/>
  <c r="BH55" i="1" s="1"/>
  <c r="BH56" i="1" s="1"/>
  <c r="BH57" i="1" s="1"/>
  <c r="BH58" i="1" s="1"/>
  <c r="P130" i="2"/>
  <c r="S133" i="2"/>
  <c r="Q132" i="2"/>
  <c r="H130" i="2"/>
  <c r="S134" i="2"/>
  <c r="F130" i="2"/>
  <c r="P97" i="2" l="1"/>
  <c r="P96" i="2"/>
  <c r="T94" i="2"/>
  <c r="S94" i="2"/>
  <c r="S95" i="2" s="1"/>
  <c r="Q94" i="2"/>
  <c r="P94" i="2"/>
  <c r="O94" i="2"/>
  <c r="N94" i="2"/>
  <c r="M94" i="2"/>
  <c r="L94" i="2"/>
  <c r="K94" i="2"/>
  <c r="J94" i="2"/>
  <c r="I94" i="2"/>
  <c r="H94" i="2"/>
  <c r="G94" i="2"/>
  <c r="H95" i="2" s="1"/>
  <c r="F94" i="2"/>
  <c r="E94" i="2"/>
  <c r="D94" i="2"/>
  <c r="C94" i="2"/>
  <c r="R93" i="2"/>
  <c r="R92" i="2"/>
  <c r="R91" i="2"/>
  <c r="U91" i="2" s="1"/>
  <c r="R90" i="2"/>
  <c r="U90" i="2" s="1"/>
  <c r="R89" i="2"/>
  <c r="U89" i="2" s="1"/>
  <c r="R88" i="2"/>
  <c r="U88" i="2" s="1"/>
  <c r="R87" i="2"/>
  <c r="U87" i="2" s="1"/>
  <c r="R86" i="2"/>
  <c r="U86" i="2" s="1"/>
  <c r="R85" i="2"/>
  <c r="U85" i="2" s="1"/>
  <c r="R84" i="2"/>
  <c r="U84" i="2" s="1"/>
  <c r="R83" i="2"/>
  <c r="U83" i="2" s="1"/>
  <c r="R82" i="2"/>
  <c r="U82" i="2" s="1"/>
  <c r="R81" i="2"/>
  <c r="U81" i="2" s="1"/>
  <c r="R80" i="2"/>
  <c r="U80" i="2" s="1"/>
  <c r="R79" i="2"/>
  <c r="U79" i="2" s="1"/>
  <c r="R78" i="2"/>
  <c r="U78" i="2" s="1"/>
  <c r="R77" i="2"/>
  <c r="R76" i="2"/>
  <c r="U76" i="2" s="1"/>
  <c r="R75" i="2"/>
  <c r="U75" i="2" s="1"/>
  <c r="X75" i="2" s="1"/>
  <c r="R74" i="2"/>
  <c r="U74" i="2" s="1"/>
  <c r="R73" i="2"/>
  <c r="U73" i="2" s="1"/>
  <c r="AX3" i="1"/>
  <c r="AQ3" i="1"/>
  <c r="P95" i="2" l="1"/>
  <c r="F95" i="2"/>
  <c r="N95" i="2"/>
  <c r="D95" i="2"/>
  <c r="L95" i="2"/>
  <c r="S98" i="2"/>
  <c r="R94" i="2"/>
  <c r="J95" i="2"/>
  <c r="Q97" i="2"/>
  <c r="U77" i="2"/>
  <c r="U94" i="2" s="1"/>
  <c r="S99" i="2"/>
  <c r="AM3" i="1" l="1"/>
  <c r="AJ3" i="1"/>
  <c r="AN3" i="1" s="1"/>
  <c r="AL3" i="1"/>
  <c r="AI3" i="1"/>
  <c r="AG3" i="1"/>
  <c r="AF3" i="1"/>
  <c r="AE3" i="1"/>
  <c r="AL11" i="1" l="1"/>
  <c r="AJ11" i="1"/>
  <c r="AG17" i="1"/>
  <c r="AG16" i="1"/>
  <c r="AG15" i="1"/>
  <c r="AG14" i="1"/>
  <c r="AG13" i="1"/>
  <c r="AG12" i="1"/>
  <c r="AG11" i="1"/>
  <c r="AG4" i="1"/>
  <c r="AG10" i="1" s="1"/>
  <c r="AG5" i="1"/>
  <c r="AG6" i="1"/>
  <c r="AG7" i="1"/>
  <c r="AG8" i="1"/>
  <c r="AG9" i="1"/>
  <c r="AF36" i="1"/>
  <c r="AB45" i="1"/>
  <c r="BA45" i="1" s="1"/>
  <c r="AB46" i="1"/>
  <c r="AB47" i="1"/>
  <c r="AB48" i="1"/>
  <c r="BA48" i="1" s="1"/>
  <c r="AB49" i="1"/>
  <c r="BA49" i="1" s="1"/>
  <c r="AB50" i="1"/>
  <c r="BA50" i="1" s="1"/>
  <c r="AB44" i="1"/>
  <c r="AB36" i="1"/>
  <c r="BA36" i="1" s="1"/>
  <c r="AB37" i="1"/>
  <c r="AB38" i="1"/>
  <c r="AB39" i="1"/>
  <c r="BA39" i="1" s="1"/>
  <c r="AB40" i="1"/>
  <c r="BA40" i="1" s="1"/>
  <c r="AB41" i="1"/>
  <c r="AO41" i="1" s="1"/>
  <c r="AB35" i="1"/>
  <c r="AB28" i="1"/>
  <c r="AB29" i="1"/>
  <c r="AB30" i="1"/>
  <c r="AB31" i="1"/>
  <c r="AB32" i="1"/>
  <c r="AB33" i="1"/>
  <c r="AB27" i="1"/>
  <c r="AB20" i="1"/>
  <c r="AB21" i="1"/>
  <c r="AB22" i="1"/>
  <c r="AB23" i="1"/>
  <c r="AB24" i="1"/>
  <c r="AB25" i="1"/>
  <c r="AB19" i="1"/>
  <c r="AB12" i="1"/>
  <c r="AB13" i="1"/>
  <c r="AB14" i="1"/>
  <c r="AB15" i="1"/>
  <c r="AB16" i="1"/>
  <c r="AB17" i="1"/>
  <c r="AB11" i="1"/>
  <c r="AB4" i="1"/>
  <c r="AB5" i="1"/>
  <c r="AB6" i="1"/>
  <c r="AB7" i="1"/>
  <c r="AB8" i="1"/>
  <c r="AB9" i="1"/>
  <c r="AB3" i="1"/>
  <c r="R49" i="1"/>
  <c r="R45" i="1"/>
  <c r="R46" i="1"/>
  <c r="R47" i="1"/>
  <c r="R48" i="1"/>
  <c r="R50" i="1"/>
  <c r="AO50" i="1" s="1"/>
  <c r="R44" i="1"/>
  <c r="R36" i="1"/>
  <c r="R37" i="1"/>
  <c r="R38" i="1"/>
  <c r="R39" i="1"/>
  <c r="R40" i="1"/>
  <c r="R41" i="1"/>
  <c r="R35" i="1"/>
  <c r="R28" i="1"/>
  <c r="R29" i="1"/>
  <c r="R30" i="1"/>
  <c r="R31" i="1"/>
  <c r="R32" i="1"/>
  <c r="R33" i="1"/>
  <c r="R27" i="1"/>
  <c r="R21" i="1"/>
  <c r="R20" i="1"/>
  <c r="R22" i="1"/>
  <c r="R23" i="1"/>
  <c r="R24" i="1"/>
  <c r="R25" i="1"/>
  <c r="R19" i="1"/>
  <c r="R17" i="1"/>
  <c r="R15" i="1"/>
  <c r="R12" i="1"/>
  <c r="R13" i="1"/>
  <c r="R14" i="1"/>
  <c r="R16" i="1"/>
  <c r="R11" i="1"/>
  <c r="R7" i="1"/>
  <c r="R3" i="1"/>
  <c r="AH3" i="1" s="1"/>
  <c r="O18" i="1"/>
  <c r="N18" i="1"/>
  <c r="O10" i="1"/>
  <c r="R4" i="1"/>
  <c r="R5" i="1"/>
  <c r="R6" i="1"/>
  <c r="R8" i="1"/>
  <c r="R9" i="1"/>
  <c r="Q10" i="1"/>
  <c r="E51" i="1"/>
  <c r="E42" i="1"/>
  <c r="E34" i="1"/>
  <c r="E26" i="1"/>
  <c r="E18" i="1"/>
  <c r="E10" i="1"/>
  <c r="I3" i="1"/>
  <c r="AA51" i="1"/>
  <c r="Z51" i="1"/>
  <c r="X51" i="1"/>
  <c r="W51" i="1"/>
  <c r="V51" i="1"/>
  <c r="U51" i="1"/>
  <c r="T51" i="1"/>
  <c r="Q51" i="1"/>
  <c r="P51" i="1"/>
  <c r="N51" i="1"/>
  <c r="M51" i="1"/>
  <c r="L51" i="1"/>
  <c r="K51" i="1"/>
  <c r="J51" i="1"/>
  <c r="D51" i="1"/>
  <c r="C51" i="1"/>
  <c r="AZ50" i="1"/>
  <c r="AX50" i="1"/>
  <c r="AW50" i="1"/>
  <c r="AQ50" i="1"/>
  <c r="BG50" i="1" s="1"/>
  <c r="AM50" i="1"/>
  <c r="AL50" i="1"/>
  <c r="AJ50" i="1"/>
  <c r="AI50" i="1"/>
  <c r="AF50" i="1"/>
  <c r="AE50" i="1"/>
  <c r="AD50" i="1"/>
  <c r="AK50" i="1" s="1"/>
  <c r="I50" i="1"/>
  <c r="AZ49" i="1"/>
  <c r="AX49" i="1"/>
  <c r="AW49" i="1"/>
  <c r="AQ49" i="1"/>
  <c r="BG49" i="1" s="1"/>
  <c r="AM49" i="1"/>
  <c r="AL49" i="1"/>
  <c r="AJ49" i="1"/>
  <c r="AI49" i="1"/>
  <c r="AF49" i="1"/>
  <c r="AE49" i="1"/>
  <c r="AD49" i="1"/>
  <c r="AK49" i="1" s="1"/>
  <c r="I49" i="1"/>
  <c r="AZ48" i="1"/>
  <c r="AX48" i="1"/>
  <c r="AW48" i="1"/>
  <c r="AQ48" i="1"/>
  <c r="BG48" i="1" s="1"/>
  <c r="AM48" i="1"/>
  <c r="AL48" i="1"/>
  <c r="AJ48" i="1"/>
  <c r="AI48" i="1"/>
  <c r="AF48" i="1"/>
  <c r="AE48" i="1"/>
  <c r="AD48" i="1"/>
  <c r="AK48" i="1" s="1"/>
  <c r="I48" i="1"/>
  <c r="AZ47" i="1"/>
  <c r="AX47" i="1"/>
  <c r="AW47" i="1"/>
  <c r="AQ47" i="1"/>
  <c r="BG47" i="1" s="1"/>
  <c r="AM47" i="1"/>
  <c r="AL47" i="1"/>
  <c r="AJ47" i="1"/>
  <c r="AI47" i="1"/>
  <c r="AF47" i="1"/>
  <c r="AE47" i="1"/>
  <c r="AD47" i="1"/>
  <c r="AK47" i="1" s="1"/>
  <c r="BA47" i="1"/>
  <c r="I47" i="1"/>
  <c r="AZ46" i="1"/>
  <c r="AX46" i="1"/>
  <c r="BD46" i="1" s="1"/>
  <c r="AW46" i="1"/>
  <c r="AQ46" i="1"/>
  <c r="BG46" i="1" s="1"/>
  <c r="AM46" i="1"/>
  <c r="AL46" i="1"/>
  <c r="AJ46" i="1"/>
  <c r="AI46" i="1"/>
  <c r="AF46" i="1"/>
  <c r="AE46" i="1"/>
  <c r="AD46" i="1"/>
  <c r="AK46" i="1" s="1"/>
  <c r="BA46" i="1"/>
  <c r="I46" i="1"/>
  <c r="AZ45" i="1"/>
  <c r="AX45" i="1"/>
  <c r="AW45" i="1"/>
  <c r="AQ45" i="1"/>
  <c r="BG45" i="1" s="1"/>
  <c r="AM45" i="1"/>
  <c r="AL45" i="1"/>
  <c r="AJ45" i="1"/>
  <c r="AI45" i="1"/>
  <c r="AF45" i="1"/>
  <c r="AE45" i="1"/>
  <c r="AD45" i="1"/>
  <c r="AK45" i="1" s="1"/>
  <c r="I45" i="1"/>
  <c r="BA44" i="1"/>
  <c r="AZ44" i="1"/>
  <c r="AX44" i="1"/>
  <c r="AW44" i="1"/>
  <c r="AQ44" i="1"/>
  <c r="AM44" i="1"/>
  <c r="AL44" i="1"/>
  <c r="AJ44" i="1"/>
  <c r="AI44" i="1"/>
  <c r="AP44" i="1" s="1"/>
  <c r="AF44" i="1"/>
  <c r="AE44" i="1"/>
  <c r="AD44" i="1"/>
  <c r="I44" i="1"/>
  <c r="AA42" i="1"/>
  <c r="Z42" i="1"/>
  <c r="X42" i="1"/>
  <c r="W42" i="1"/>
  <c r="V42" i="1"/>
  <c r="U42" i="1"/>
  <c r="T42" i="1"/>
  <c r="Q42" i="1"/>
  <c r="P42" i="1"/>
  <c r="N42" i="1"/>
  <c r="M42" i="1"/>
  <c r="L42" i="1"/>
  <c r="K42" i="1"/>
  <c r="J42" i="1"/>
  <c r="D42" i="1"/>
  <c r="C42" i="1"/>
  <c r="BA41" i="1"/>
  <c r="AZ41" i="1"/>
  <c r="AX41" i="1"/>
  <c r="AW41" i="1"/>
  <c r="AQ41" i="1"/>
  <c r="BG41" i="1" s="1"/>
  <c r="AM41" i="1"/>
  <c r="AL41" i="1"/>
  <c r="AJ41" i="1"/>
  <c r="AP41" i="1" s="1"/>
  <c r="AI41" i="1"/>
  <c r="AF41" i="1"/>
  <c r="AE41" i="1"/>
  <c r="AD41" i="1"/>
  <c r="AK41" i="1" s="1"/>
  <c r="I41" i="1"/>
  <c r="AZ40" i="1"/>
  <c r="AX40" i="1"/>
  <c r="AW40" i="1"/>
  <c r="AQ40" i="1"/>
  <c r="BG40" i="1" s="1"/>
  <c r="AM40" i="1"/>
  <c r="AL40" i="1"/>
  <c r="AJ40" i="1"/>
  <c r="AP40" i="1" s="1"/>
  <c r="AI40" i="1"/>
  <c r="AF40" i="1"/>
  <c r="AE40" i="1"/>
  <c r="AD40" i="1"/>
  <c r="AK40" i="1" s="1"/>
  <c r="I40" i="1"/>
  <c r="AZ39" i="1"/>
  <c r="AX39" i="1"/>
  <c r="AW39" i="1"/>
  <c r="AQ39" i="1"/>
  <c r="BG39" i="1" s="1"/>
  <c r="AP39" i="1"/>
  <c r="AM39" i="1"/>
  <c r="AL39" i="1"/>
  <c r="AJ39" i="1"/>
  <c r="AI39" i="1"/>
  <c r="AF39" i="1"/>
  <c r="AE39" i="1"/>
  <c r="AD39" i="1"/>
  <c r="AK39" i="1" s="1"/>
  <c r="I39" i="1"/>
  <c r="AZ38" i="1"/>
  <c r="AX38" i="1"/>
  <c r="BD38" i="1" s="1"/>
  <c r="AW38" i="1"/>
  <c r="AQ38" i="1"/>
  <c r="BG38" i="1" s="1"/>
  <c r="AM38" i="1"/>
  <c r="AL38" i="1"/>
  <c r="AJ38" i="1"/>
  <c r="AI38" i="1"/>
  <c r="AP38" i="1" s="1"/>
  <c r="AF38" i="1"/>
  <c r="AE38" i="1"/>
  <c r="AD38" i="1"/>
  <c r="AK38" i="1" s="1"/>
  <c r="BA38" i="1"/>
  <c r="I38" i="1"/>
  <c r="AZ37" i="1"/>
  <c r="AX37" i="1"/>
  <c r="AW37" i="1"/>
  <c r="AQ37" i="1"/>
  <c r="BG37" i="1" s="1"/>
  <c r="AM37" i="1"/>
  <c r="AL37" i="1"/>
  <c r="AJ37" i="1"/>
  <c r="AI37" i="1"/>
  <c r="AF37" i="1"/>
  <c r="AE37" i="1"/>
  <c r="AD37" i="1"/>
  <c r="AK37" i="1" s="1"/>
  <c r="I37" i="1"/>
  <c r="AZ36" i="1"/>
  <c r="AX36" i="1"/>
  <c r="AW36" i="1"/>
  <c r="AQ36" i="1"/>
  <c r="BG36" i="1" s="1"/>
  <c r="AM36" i="1"/>
  <c r="AL36" i="1"/>
  <c r="AJ36" i="1"/>
  <c r="AI36" i="1"/>
  <c r="AE36" i="1"/>
  <c r="AD36" i="1"/>
  <c r="AK36" i="1" s="1"/>
  <c r="I36" i="1"/>
  <c r="BA35" i="1"/>
  <c r="AZ35" i="1"/>
  <c r="AX35" i="1"/>
  <c r="AW35" i="1"/>
  <c r="AQ35" i="1"/>
  <c r="AM35" i="1"/>
  <c r="AL35" i="1"/>
  <c r="AJ35" i="1"/>
  <c r="AI35" i="1"/>
  <c r="AF35" i="1"/>
  <c r="AE35" i="1"/>
  <c r="AD35" i="1"/>
  <c r="AK35" i="1" s="1"/>
  <c r="I35" i="1"/>
  <c r="AP49" i="1" l="1"/>
  <c r="AP50" i="1"/>
  <c r="AO37" i="1"/>
  <c r="BD47" i="1"/>
  <c r="AO39" i="1"/>
  <c r="BD50" i="1"/>
  <c r="AO49" i="1"/>
  <c r="AP48" i="1"/>
  <c r="AQ51" i="1"/>
  <c r="AP47" i="1"/>
  <c r="AP46" i="1"/>
  <c r="AO46" i="1"/>
  <c r="AJ51" i="1"/>
  <c r="AP45" i="1"/>
  <c r="AO45" i="1"/>
  <c r="AE51" i="1"/>
  <c r="AL51" i="1"/>
  <c r="AM51" i="1"/>
  <c r="AR50" i="1" s="1"/>
  <c r="AR51" i="1" s="1"/>
  <c r="AF51" i="1"/>
  <c r="AD51" i="1"/>
  <c r="BC44" i="1"/>
  <c r="AB51" i="1"/>
  <c r="AZ51" i="1"/>
  <c r="BD44" i="1"/>
  <c r="F51" i="1"/>
  <c r="I51" i="1" s="1"/>
  <c r="BD41" i="1"/>
  <c r="BC41" i="1"/>
  <c r="AJ42" i="1"/>
  <c r="BC40" i="1"/>
  <c r="BD40" i="1"/>
  <c r="AO40" i="1"/>
  <c r="BC39" i="1"/>
  <c r="BD39" i="1"/>
  <c r="AO38" i="1"/>
  <c r="BC38" i="1"/>
  <c r="R42" i="1"/>
  <c r="F42" i="1"/>
  <c r="I42" i="1" s="1"/>
  <c r="AP37" i="1"/>
  <c r="BA37" i="1"/>
  <c r="BA42" i="1" s="1"/>
  <c r="AE42" i="1"/>
  <c r="AP36" i="1"/>
  <c r="AS37" i="1" s="1"/>
  <c r="AS38" i="1" s="1"/>
  <c r="AS39" i="1" s="1"/>
  <c r="AS40" i="1" s="1"/>
  <c r="AS41" i="1" s="1"/>
  <c r="AL42" i="1"/>
  <c r="AO36" i="1"/>
  <c r="AQ42" i="1"/>
  <c r="AM42" i="1"/>
  <c r="AR41" i="1" s="1"/>
  <c r="AR42" i="1" s="1"/>
  <c r="AK42" i="1"/>
  <c r="AP35" i="1"/>
  <c r="AP42" i="1" s="1"/>
  <c r="BD35" i="1"/>
  <c r="BC35" i="1"/>
  <c r="BG35" i="1"/>
  <c r="BG42" i="1" s="1"/>
  <c r="AG18" i="1"/>
  <c r="R18" i="1"/>
  <c r="AF42" i="1"/>
  <c r="AO47" i="1"/>
  <c r="AB42" i="1"/>
  <c r="R51" i="1"/>
  <c r="AO48" i="1"/>
  <c r="R10" i="1"/>
  <c r="AS45" i="1"/>
  <c r="BA51" i="1"/>
  <c r="BC45" i="1"/>
  <c r="BC46" i="1"/>
  <c r="BC47" i="1"/>
  <c r="BC48" i="1"/>
  <c r="BC49" i="1"/>
  <c r="AO44" i="1"/>
  <c r="AH45" i="1"/>
  <c r="AY45" i="1"/>
  <c r="BE45" i="1" s="1"/>
  <c r="AH46" i="1"/>
  <c r="AY46" i="1"/>
  <c r="BE46" i="1" s="1"/>
  <c r="BF46" i="1" s="1"/>
  <c r="AH47" i="1"/>
  <c r="AY47" i="1"/>
  <c r="BE47" i="1" s="1"/>
  <c r="BF47" i="1" s="1"/>
  <c r="AH48" i="1"/>
  <c r="AY48" i="1"/>
  <c r="BE48" i="1" s="1"/>
  <c r="AH49" i="1"/>
  <c r="AY49" i="1"/>
  <c r="BE49" i="1" s="1"/>
  <c r="AH50" i="1"/>
  <c r="AI51" i="1"/>
  <c r="AK44" i="1"/>
  <c r="AK51" i="1" s="1"/>
  <c r="AY44" i="1"/>
  <c r="BB44" i="1" s="1"/>
  <c r="BG44" i="1"/>
  <c r="BG51" i="1" s="1"/>
  <c r="BD45" i="1"/>
  <c r="BD48" i="1"/>
  <c r="BD49" i="1"/>
  <c r="AY50" i="1"/>
  <c r="BE50" i="1" s="1"/>
  <c r="BC50" i="1"/>
  <c r="AX51" i="1"/>
  <c r="AH44" i="1"/>
  <c r="BC36" i="1"/>
  <c r="BC37" i="1"/>
  <c r="AD42" i="1"/>
  <c r="AI42" i="1"/>
  <c r="AZ42" i="1"/>
  <c r="AO35" i="1"/>
  <c r="AH36" i="1"/>
  <c r="AY36" i="1"/>
  <c r="BE36" i="1" s="1"/>
  <c r="AH37" i="1"/>
  <c r="AY37" i="1"/>
  <c r="AH38" i="1"/>
  <c r="AY38" i="1"/>
  <c r="BE38" i="1" s="1"/>
  <c r="BF38" i="1" s="1"/>
  <c r="AH39" i="1"/>
  <c r="AY39" i="1"/>
  <c r="BE39" i="1" s="1"/>
  <c r="BF39" i="1" s="1"/>
  <c r="AH40" i="1"/>
  <c r="AY40" i="1"/>
  <c r="BE40" i="1" s="1"/>
  <c r="AH41" i="1"/>
  <c r="AY35" i="1"/>
  <c r="BD36" i="1"/>
  <c r="BD37" i="1"/>
  <c r="AY41" i="1"/>
  <c r="BE41" i="1" s="1"/>
  <c r="AX42" i="1"/>
  <c r="AH35" i="1"/>
  <c r="P125" i="3"/>
  <c r="AP51" i="1" l="1"/>
  <c r="AS36" i="1"/>
  <c r="BB46" i="1"/>
  <c r="BF50" i="1"/>
  <c r="AS46" i="1"/>
  <c r="AS47" i="1" s="1"/>
  <c r="AS48" i="1"/>
  <c r="AS49" i="1" s="1"/>
  <c r="AS50" i="1" s="1"/>
  <c r="BD51" i="1"/>
  <c r="AS51" i="1"/>
  <c r="BF41" i="1"/>
  <c r="BB41" i="1"/>
  <c r="BF40" i="1"/>
  <c r="BB40" i="1"/>
  <c r="BE37" i="1"/>
  <c r="BF37" i="1" s="1"/>
  <c r="AO42" i="1"/>
  <c r="AS42" i="1"/>
  <c r="AH42" i="1"/>
  <c r="BF36" i="1"/>
  <c r="BC42" i="1"/>
  <c r="BB50" i="1"/>
  <c r="AO51" i="1"/>
  <c r="BF48" i="1"/>
  <c r="BC51" i="1"/>
  <c r="BB39" i="1"/>
  <c r="BB36" i="1"/>
  <c r="BB49" i="1"/>
  <c r="BB45" i="1"/>
  <c r="BB48" i="1"/>
  <c r="BB47" i="1"/>
  <c r="BF45" i="1"/>
  <c r="AH51" i="1"/>
  <c r="BF49" i="1"/>
  <c r="AY51" i="1"/>
  <c r="BE44" i="1"/>
  <c r="AY42" i="1"/>
  <c r="BE35" i="1"/>
  <c r="BB38" i="1"/>
  <c r="BB37" i="1"/>
  <c r="BB35" i="1"/>
  <c r="BD42" i="1"/>
  <c r="P64" i="2"/>
  <c r="P63" i="2"/>
  <c r="T61" i="2"/>
  <c r="S61" i="2"/>
  <c r="Q61" i="2"/>
  <c r="P61" i="2"/>
  <c r="O61" i="2"/>
  <c r="P62" i="2" s="1"/>
  <c r="N61" i="2"/>
  <c r="M61" i="2"/>
  <c r="N62" i="2" s="1"/>
  <c r="L61" i="2"/>
  <c r="K61" i="2"/>
  <c r="J61" i="2"/>
  <c r="I61" i="2"/>
  <c r="H61" i="2"/>
  <c r="G61" i="2"/>
  <c r="H62" i="2" s="1"/>
  <c r="F61" i="2"/>
  <c r="E61" i="2"/>
  <c r="D61" i="2"/>
  <c r="C61" i="2"/>
  <c r="D62" i="2" s="1"/>
  <c r="R60" i="2"/>
  <c r="R59" i="2"/>
  <c r="R58" i="2"/>
  <c r="U58" i="2" s="1"/>
  <c r="R57" i="2"/>
  <c r="U57" i="2" s="1"/>
  <c r="R56" i="2"/>
  <c r="U56" i="2" s="1"/>
  <c r="R55" i="2"/>
  <c r="U55" i="2" s="1"/>
  <c r="R54" i="2"/>
  <c r="U54" i="2" s="1"/>
  <c r="R53" i="2"/>
  <c r="U53" i="2" s="1"/>
  <c r="R52" i="2"/>
  <c r="U52" i="2" s="1"/>
  <c r="R51" i="2"/>
  <c r="U51" i="2" s="1"/>
  <c r="R50" i="2"/>
  <c r="U50" i="2" s="1"/>
  <c r="R49" i="2"/>
  <c r="U49" i="2" s="1"/>
  <c r="R48" i="2"/>
  <c r="U48" i="2" s="1"/>
  <c r="R47" i="2"/>
  <c r="U47" i="2" s="1"/>
  <c r="R46" i="2"/>
  <c r="U46" i="2" s="1"/>
  <c r="R45" i="2"/>
  <c r="U45" i="2" s="1"/>
  <c r="Z45" i="2" s="1"/>
  <c r="R44" i="2"/>
  <c r="U44" i="2" s="1"/>
  <c r="R43" i="2"/>
  <c r="U43" i="2" s="1"/>
  <c r="R42" i="2"/>
  <c r="U42" i="2" s="1"/>
  <c r="X42" i="2" s="1"/>
  <c r="R41" i="2"/>
  <c r="U41" i="2" s="1"/>
  <c r="R40" i="2"/>
  <c r="U40" i="2" s="1"/>
  <c r="C125" i="3"/>
  <c r="C124" i="3"/>
  <c r="I119" i="3"/>
  <c r="I110" i="3"/>
  <c r="I13" i="1"/>
  <c r="I12" i="1"/>
  <c r="S62" i="2" l="1"/>
  <c r="BB51" i="1"/>
  <c r="BE51" i="1"/>
  <c r="BF44" i="1"/>
  <c r="BE42" i="1"/>
  <c r="BF35" i="1"/>
  <c r="BB42" i="1"/>
  <c r="F62" i="2"/>
  <c r="J62" i="2"/>
  <c r="Q64" i="2"/>
  <c r="S65" i="2"/>
  <c r="L62" i="2"/>
  <c r="S66" i="2"/>
  <c r="U61" i="2"/>
  <c r="R61" i="2"/>
  <c r="C126" i="3"/>
  <c r="I121" i="3"/>
  <c r="BF51" i="1" l="1"/>
  <c r="BH45" i="1"/>
  <c r="BH46" i="1" s="1"/>
  <c r="BH47" i="1" s="1"/>
  <c r="BH48" i="1" s="1"/>
  <c r="BH49" i="1" s="1"/>
  <c r="BH50" i="1" s="1"/>
  <c r="BF42" i="1"/>
  <c r="BH36" i="1"/>
  <c r="BH37" i="1" s="1"/>
  <c r="BH38" i="1" s="1"/>
  <c r="BH39" i="1" s="1"/>
  <c r="BH40" i="1" s="1"/>
  <c r="BH41" i="1" s="1"/>
  <c r="I24" i="3"/>
  <c r="P39" i="3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C39" i="3" l="1"/>
  <c r="C38" i="3"/>
  <c r="I33" i="3"/>
  <c r="C40" i="3" l="1"/>
  <c r="I35" i="3"/>
  <c r="P29" i="2"/>
  <c r="P28" i="2"/>
  <c r="T26" i="2"/>
  <c r="S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R25" i="2"/>
  <c r="R24" i="2"/>
  <c r="U22" i="2"/>
  <c r="U21" i="2"/>
  <c r="U20" i="2"/>
  <c r="U19" i="2"/>
  <c r="U23" i="2"/>
  <c r="U18" i="2"/>
  <c r="U17" i="2"/>
  <c r="U16" i="2"/>
  <c r="U15" i="2"/>
  <c r="U14" i="2"/>
  <c r="U13" i="2"/>
  <c r="U12" i="2"/>
  <c r="U11" i="2"/>
  <c r="U10" i="2"/>
  <c r="Z10" i="2" s="1"/>
  <c r="U9" i="2"/>
  <c r="U8" i="2"/>
  <c r="U7" i="2"/>
  <c r="X7" i="2" s="1"/>
  <c r="U6" i="2"/>
  <c r="U5" i="2"/>
  <c r="R26" i="2" l="1"/>
  <c r="U26" i="2"/>
  <c r="S27" i="2"/>
  <c r="J27" i="2"/>
  <c r="D27" i="2"/>
  <c r="P27" i="2"/>
  <c r="H27" i="2"/>
  <c r="L27" i="2"/>
  <c r="F27" i="2"/>
  <c r="N27" i="2"/>
  <c r="Q29" i="2"/>
  <c r="S31" i="2"/>
  <c r="S30" i="2"/>
  <c r="AA34" i="1" l="1"/>
  <c r="Z34" i="1"/>
  <c r="X34" i="1"/>
  <c r="W34" i="1"/>
  <c r="V34" i="1"/>
  <c r="U34" i="1"/>
  <c r="T34" i="1"/>
  <c r="Q34" i="1"/>
  <c r="P34" i="1"/>
  <c r="N34" i="1"/>
  <c r="M34" i="1"/>
  <c r="L34" i="1"/>
  <c r="K34" i="1"/>
  <c r="J34" i="1"/>
  <c r="D34" i="1"/>
  <c r="C34" i="1"/>
  <c r="AZ33" i="1"/>
  <c r="AX33" i="1"/>
  <c r="AW33" i="1"/>
  <c r="AQ33" i="1"/>
  <c r="BG33" i="1" s="1"/>
  <c r="AO33" i="1"/>
  <c r="AM33" i="1"/>
  <c r="AL33" i="1"/>
  <c r="AJ33" i="1"/>
  <c r="AI33" i="1"/>
  <c r="AF33" i="1"/>
  <c r="AE33" i="1"/>
  <c r="AD33" i="1"/>
  <c r="AK33" i="1" s="1"/>
  <c r="AH33" i="1"/>
  <c r="AY33" i="1"/>
  <c r="I33" i="1"/>
  <c r="BA32" i="1"/>
  <c r="AZ32" i="1"/>
  <c r="AX32" i="1"/>
  <c r="AW32" i="1"/>
  <c r="AQ32" i="1"/>
  <c r="BG32" i="1" s="1"/>
  <c r="AO32" i="1"/>
  <c r="AM32" i="1"/>
  <c r="AL32" i="1"/>
  <c r="AJ32" i="1"/>
  <c r="AI32" i="1"/>
  <c r="AF32" i="1"/>
  <c r="AE32" i="1"/>
  <c r="AD32" i="1"/>
  <c r="AK32" i="1" s="1"/>
  <c r="AY32" i="1"/>
  <c r="I32" i="1"/>
  <c r="BA31" i="1"/>
  <c r="AZ31" i="1"/>
  <c r="AX31" i="1"/>
  <c r="AW31" i="1"/>
  <c r="AQ31" i="1"/>
  <c r="BG31" i="1" s="1"/>
  <c r="AO31" i="1"/>
  <c r="AM31" i="1"/>
  <c r="AL31" i="1"/>
  <c r="AJ31" i="1"/>
  <c r="AI31" i="1"/>
  <c r="AP31" i="1" s="1"/>
  <c r="AF31" i="1"/>
  <c r="AE31" i="1"/>
  <c r="AD31" i="1"/>
  <c r="AK31" i="1" s="1"/>
  <c r="AY31" i="1"/>
  <c r="BE31" i="1" s="1"/>
  <c r="I31" i="1"/>
  <c r="BA30" i="1"/>
  <c r="AZ30" i="1"/>
  <c r="AX30" i="1"/>
  <c r="BD30" i="1" s="1"/>
  <c r="AW30" i="1"/>
  <c r="AQ30" i="1"/>
  <c r="BG30" i="1" s="1"/>
  <c r="AO30" i="1"/>
  <c r="AM30" i="1"/>
  <c r="AL30" i="1"/>
  <c r="AJ30" i="1"/>
  <c r="AI30" i="1"/>
  <c r="AF30" i="1"/>
  <c r="AE30" i="1"/>
  <c r="AD30" i="1"/>
  <c r="AK30" i="1" s="1"/>
  <c r="AY30" i="1"/>
  <c r="I30" i="1"/>
  <c r="BA29" i="1"/>
  <c r="AZ29" i="1"/>
  <c r="AX29" i="1"/>
  <c r="AW29" i="1"/>
  <c r="AQ29" i="1"/>
  <c r="BG29" i="1" s="1"/>
  <c r="AO29" i="1"/>
  <c r="AM29" i="1"/>
  <c r="AL29" i="1"/>
  <c r="AJ29" i="1"/>
  <c r="AI29" i="1"/>
  <c r="AF29" i="1"/>
  <c r="AE29" i="1"/>
  <c r="AD29" i="1"/>
  <c r="AK29" i="1" s="1"/>
  <c r="AY29" i="1"/>
  <c r="I29" i="1"/>
  <c r="BA28" i="1"/>
  <c r="AZ28" i="1"/>
  <c r="AX28" i="1"/>
  <c r="BD28" i="1" s="1"/>
  <c r="AW28" i="1"/>
  <c r="AQ28" i="1"/>
  <c r="BG28" i="1" s="1"/>
  <c r="AO28" i="1"/>
  <c r="AM28" i="1"/>
  <c r="AL28" i="1"/>
  <c r="AJ28" i="1"/>
  <c r="AI28" i="1"/>
  <c r="AF28" i="1"/>
  <c r="AE28" i="1"/>
  <c r="AD28" i="1"/>
  <c r="AK28" i="1" s="1"/>
  <c r="AY28" i="1"/>
  <c r="I28" i="1"/>
  <c r="AZ27" i="1"/>
  <c r="AX27" i="1"/>
  <c r="AW27" i="1"/>
  <c r="AQ27" i="1"/>
  <c r="AM27" i="1"/>
  <c r="AL27" i="1"/>
  <c r="AJ27" i="1"/>
  <c r="AI27" i="1"/>
  <c r="AF27" i="1"/>
  <c r="AE27" i="1"/>
  <c r="AD27" i="1"/>
  <c r="AK27" i="1" s="1"/>
  <c r="AB34" i="1"/>
  <c r="R34" i="1"/>
  <c r="I27" i="1"/>
  <c r="AA26" i="1"/>
  <c r="Z26" i="1"/>
  <c r="X26" i="1"/>
  <c r="W26" i="1"/>
  <c r="V26" i="1"/>
  <c r="U26" i="1"/>
  <c r="T26" i="1"/>
  <c r="Q26" i="1"/>
  <c r="P26" i="1"/>
  <c r="N26" i="1"/>
  <c r="M26" i="1"/>
  <c r="L26" i="1"/>
  <c r="K26" i="1"/>
  <c r="J26" i="1"/>
  <c r="D26" i="1"/>
  <c r="C26" i="1"/>
  <c r="AZ25" i="1"/>
  <c r="AX25" i="1"/>
  <c r="AW25" i="1"/>
  <c r="AQ25" i="1"/>
  <c r="BG25" i="1" s="1"/>
  <c r="AO25" i="1"/>
  <c r="AM25" i="1"/>
  <c r="AL25" i="1"/>
  <c r="AJ25" i="1"/>
  <c r="AI25" i="1"/>
  <c r="AF25" i="1"/>
  <c r="AE25" i="1"/>
  <c r="AD25" i="1"/>
  <c r="AK25" i="1" s="1"/>
  <c r="AH25" i="1"/>
  <c r="AY25" i="1"/>
  <c r="I25" i="1"/>
  <c r="BA24" i="1"/>
  <c r="AZ24" i="1"/>
  <c r="AX24" i="1"/>
  <c r="AW24" i="1"/>
  <c r="AQ24" i="1"/>
  <c r="BG24" i="1" s="1"/>
  <c r="AO24" i="1"/>
  <c r="AM24" i="1"/>
  <c r="AL24" i="1"/>
  <c r="AJ24" i="1"/>
  <c r="AI24" i="1"/>
  <c r="AF24" i="1"/>
  <c r="AE24" i="1"/>
  <c r="AD24" i="1"/>
  <c r="AK24" i="1" s="1"/>
  <c r="AH24" i="1"/>
  <c r="AY24" i="1"/>
  <c r="I24" i="1"/>
  <c r="BA23" i="1"/>
  <c r="AZ23" i="1"/>
  <c r="AY23" i="1"/>
  <c r="AX23" i="1"/>
  <c r="AW23" i="1"/>
  <c r="AQ23" i="1"/>
  <c r="BG23" i="1" s="1"/>
  <c r="AO23" i="1"/>
  <c r="AM23" i="1"/>
  <c r="AL23" i="1"/>
  <c r="AJ23" i="1"/>
  <c r="AI23" i="1"/>
  <c r="AF23" i="1"/>
  <c r="AE23" i="1"/>
  <c r="AD23" i="1"/>
  <c r="AK23" i="1" s="1"/>
  <c r="AH23" i="1"/>
  <c r="I23" i="1"/>
  <c r="BA22" i="1"/>
  <c r="AZ22" i="1"/>
  <c r="AY22" i="1"/>
  <c r="AX22" i="1"/>
  <c r="AW22" i="1"/>
  <c r="AQ22" i="1"/>
  <c r="BG22" i="1" s="1"/>
  <c r="AO22" i="1"/>
  <c r="AM22" i="1"/>
  <c r="AL22" i="1"/>
  <c r="AJ22" i="1"/>
  <c r="AI22" i="1"/>
  <c r="AF22" i="1"/>
  <c r="AE22" i="1"/>
  <c r="AD22" i="1"/>
  <c r="AK22" i="1" s="1"/>
  <c r="AH22" i="1"/>
  <c r="I22" i="1"/>
  <c r="BA21" i="1"/>
  <c r="AZ21" i="1"/>
  <c r="AY21" i="1"/>
  <c r="AX21" i="1"/>
  <c r="AW21" i="1"/>
  <c r="AQ21" i="1"/>
  <c r="BG21" i="1" s="1"/>
  <c r="AO21" i="1"/>
  <c r="AM21" i="1"/>
  <c r="AL21" i="1"/>
  <c r="AJ21" i="1"/>
  <c r="AI21" i="1"/>
  <c r="AF21" i="1"/>
  <c r="AE21" i="1"/>
  <c r="AD21" i="1"/>
  <c r="AK21" i="1" s="1"/>
  <c r="AH21" i="1"/>
  <c r="I21" i="1"/>
  <c r="AZ20" i="1"/>
  <c r="AX20" i="1"/>
  <c r="AW20" i="1"/>
  <c r="AQ20" i="1"/>
  <c r="BG20" i="1" s="1"/>
  <c r="AM20" i="1"/>
  <c r="AL20" i="1"/>
  <c r="AJ20" i="1"/>
  <c r="AI20" i="1"/>
  <c r="AF20" i="1"/>
  <c r="AE20" i="1"/>
  <c r="AD20" i="1"/>
  <c r="AK20" i="1" s="1"/>
  <c r="BA20" i="1"/>
  <c r="AY20" i="1"/>
  <c r="I20" i="1"/>
  <c r="AZ19" i="1"/>
  <c r="AX19" i="1"/>
  <c r="AW19" i="1"/>
  <c r="AQ19" i="1"/>
  <c r="AM19" i="1"/>
  <c r="AL19" i="1"/>
  <c r="AJ19" i="1"/>
  <c r="AI19" i="1"/>
  <c r="AP19" i="1" s="1"/>
  <c r="AF19" i="1"/>
  <c r="AE19" i="1"/>
  <c r="AD19" i="1"/>
  <c r="AK19" i="1" s="1"/>
  <c r="I19" i="1"/>
  <c r="AA18" i="1"/>
  <c r="Z18" i="1"/>
  <c r="X18" i="1"/>
  <c r="W18" i="1"/>
  <c r="V18" i="1"/>
  <c r="U18" i="1"/>
  <c r="T18" i="1"/>
  <c r="Q18" i="1"/>
  <c r="P18" i="1"/>
  <c r="M18" i="1"/>
  <c r="L18" i="1"/>
  <c r="K18" i="1"/>
  <c r="J18" i="1"/>
  <c r="D18" i="1"/>
  <c r="C18" i="1"/>
  <c r="AZ17" i="1"/>
  <c r="AX17" i="1"/>
  <c r="AW17" i="1"/>
  <c r="AQ17" i="1"/>
  <c r="BG17" i="1" s="1"/>
  <c r="AM17" i="1"/>
  <c r="AL17" i="1"/>
  <c r="AJ17" i="1"/>
  <c r="AI17" i="1"/>
  <c r="AF17" i="1"/>
  <c r="AE17" i="1"/>
  <c r="AD17" i="1"/>
  <c r="AK17" i="1" s="1"/>
  <c r="BA17" i="1"/>
  <c r="AY17" i="1"/>
  <c r="I17" i="1"/>
  <c r="AZ16" i="1"/>
  <c r="AX16" i="1"/>
  <c r="AW16" i="1"/>
  <c r="AQ16" i="1"/>
  <c r="BG16" i="1" s="1"/>
  <c r="AM16" i="1"/>
  <c r="AL16" i="1"/>
  <c r="AJ16" i="1"/>
  <c r="AI16" i="1"/>
  <c r="AF16" i="1"/>
  <c r="AE16" i="1"/>
  <c r="AD16" i="1"/>
  <c r="AK16" i="1" s="1"/>
  <c r="BA16" i="1"/>
  <c r="AY16" i="1"/>
  <c r="I16" i="1"/>
  <c r="AZ15" i="1"/>
  <c r="AX15" i="1"/>
  <c r="AW15" i="1"/>
  <c r="AQ15" i="1"/>
  <c r="BG15" i="1" s="1"/>
  <c r="AM15" i="1"/>
  <c r="AL15" i="1"/>
  <c r="AJ15" i="1"/>
  <c r="AI15" i="1"/>
  <c r="AP15" i="1" s="1"/>
  <c r="AF15" i="1"/>
  <c r="AE15" i="1"/>
  <c r="AD15" i="1"/>
  <c r="AK15" i="1" s="1"/>
  <c r="BA15" i="1"/>
  <c r="AY15" i="1"/>
  <c r="I15" i="1"/>
  <c r="AZ14" i="1"/>
  <c r="AX14" i="1"/>
  <c r="AW14" i="1"/>
  <c r="AQ14" i="1"/>
  <c r="BG14" i="1" s="1"/>
  <c r="AM14" i="1"/>
  <c r="AL14" i="1"/>
  <c r="AJ14" i="1"/>
  <c r="AI14" i="1"/>
  <c r="AF14" i="1"/>
  <c r="AE14" i="1"/>
  <c r="AD14" i="1"/>
  <c r="AK14" i="1" s="1"/>
  <c r="BA14" i="1"/>
  <c r="AY14" i="1"/>
  <c r="I14" i="1"/>
  <c r="AZ13" i="1"/>
  <c r="AX13" i="1"/>
  <c r="AW13" i="1"/>
  <c r="AQ13" i="1"/>
  <c r="BG13" i="1" s="1"/>
  <c r="AM13" i="1"/>
  <c r="AL13" i="1"/>
  <c r="AJ13" i="1"/>
  <c r="AI13" i="1"/>
  <c r="AP13" i="1" s="1"/>
  <c r="AF13" i="1"/>
  <c r="AE13" i="1"/>
  <c r="AD13" i="1"/>
  <c r="AK13" i="1" s="1"/>
  <c r="BA13" i="1"/>
  <c r="AY13" i="1"/>
  <c r="AZ12" i="1"/>
  <c r="AX12" i="1"/>
  <c r="AW12" i="1"/>
  <c r="AQ12" i="1"/>
  <c r="BG12" i="1" s="1"/>
  <c r="AM12" i="1"/>
  <c r="AL12" i="1"/>
  <c r="AJ12" i="1"/>
  <c r="AI12" i="1"/>
  <c r="AF12" i="1"/>
  <c r="AE12" i="1"/>
  <c r="AD12" i="1"/>
  <c r="AK12" i="1" s="1"/>
  <c r="BA12" i="1"/>
  <c r="AY12" i="1"/>
  <c r="AZ11" i="1"/>
  <c r="AX11" i="1"/>
  <c r="AW11" i="1"/>
  <c r="AQ11" i="1"/>
  <c r="AM11" i="1"/>
  <c r="AI11" i="1"/>
  <c r="AF11" i="1"/>
  <c r="AE11" i="1"/>
  <c r="AD11" i="1"/>
  <c r="AK11" i="1" s="1"/>
  <c r="I11" i="1"/>
  <c r="D10" i="1"/>
  <c r="I4" i="1"/>
  <c r="I5" i="1"/>
  <c r="I6" i="1"/>
  <c r="I7" i="1"/>
  <c r="I8" i="1"/>
  <c r="I9" i="1"/>
  <c r="C10" i="1"/>
  <c r="AM5" i="1"/>
  <c r="AQ5" i="1"/>
  <c r="BG5" i="1" s="1"/>
  <c r="AD5" i="1"/>
  <c r="AK5" i="1" s="1"/>
  <c r="AE5" i="1"/>
  <c r="AF5" i="1"/>
  <c r="AN5" i="1" s="1"/>
  <c r="AI5" i="1"/>
  <c r="AJ5" i="1"/>
  <c r="AL5" i="1"/>
  <c r="AY5" i="1"/>
  <c r="AZ4" i="1"/>
  <c r="AZ5" i="1"/>
  <c r="AZ6" i="1"/>
  <c r="AZ7" i="1"/>
  <c r="AZ8" i="1"/>
  <c r="AZ9" i="1"/>
  <c r="AZ3" i="1"/>
  <c r="BD3" i="1" s="1"/>
  <c r="AX4" i="1"/>
  <c r="AX5" i="1"/>
  <c r="AX6" i="1"/>
  <c r="AX7" i="1"/>
  <c r="AX8" i="1"/>
  <c r="AX9" i="1"/>
  <c r="BA4" i="1"/>
  <c r="BA6" i="1"/>
  <c r="BA7" i="1"/>
  <c r="BA3" i="1"/>
  <c r="AY4" i="1"/>
  <c r="AY7" i="1"/>
  <c r="AY8" i="1"/>
  <c r="AY9" i="1"/>
  <c r="AA10" i="1"/>
  <c r="Z10" i="1"/>
  <c r="X10" i="1"/>
  <c r="W10" i="1"/>
  <c r="V10" i="1"/>
  <c r="U10" i="1"/>
  <c r="T10" i="1"/>
  <c r="P10" i="1"/>
  <c r="N10" i="1"/>
  <c r="M10" i="1"/>
  <c r="L10" i="1"/>
  <c r="K10" i="1"/>
  <c r="J10" i="1"/>
  <c r="AW9" i="1"/>
  <c r="AQ9" i="1"/>
  <c r="BG9" i="1" s="1"/>
  <c r="AM9" i="1"/>
  <c r="AL9" i="1"/>
  <c r="AJ9" i="1"/>
  <c r="AI9" i="1"/>
  <c r="AF9" i="1"/>
  <c r="AN9" i="1" s="1"/>
  <c r="AE9" i="1"/>
  <c r="AD9" i="1"/>
  <c r="AK9" i="1" s="1"/>
  <c r="AW8" i="1"/>
  <c r="AQ8" i="1"/>
  <c r="BG8" i="1" s="1"/>
  <c r="AM8" i="1"/>
  <c r="AL8" i="1"/>
  <c r="AJ8" i="1"/>
  <c r="AI8" i="1"/>
  <c r="AF8" i="1"/>
  <c r="AN8" i="1" s="1"/>
  <c r="AE8" i="1"/>
  <c r="AD8" i="1"/>
  <c r="AK8" i="1" s="1"/>
  <c r="BA8" i="1"/>
  <c r="AW7" i="1"/>
  <c r="AQ7" i="1"/>
  <c r="BG7" i="1" s="1"/>
  <c r="AM7" i="1"/>
  <c r="AL7" i="1"/>
  <c r="AJ7" i="1"/>
  <c r="AI7" i="1"/>
  <c r="AF7" i="1"/>
  <c r="AN7" i="1" s="1"/>
  <c r="AE7" i="1"/>
  <c r="AD7" i="1"/>
  <c r="AK7" i="1" s="1"/>
  <c r="AW6" i="1"/>
  <c r="AQ6" i="1"/>
  <c r="BG6" i="1" s="1"/>
  <c r="AM6" i="1"/>
  <c r="AL6" i="1"/>
  <c r="AJ6" i="1"/>
  <c r="AI6" i="1"/>
  <c r="AF6" i="1"/>
  <c r="AN6" i="1" s="1"/>
  <c r="AE6" i="1"/>
  <c r="AD6" i="1"/>
  <c r="AK6" i="1" s="1"/>
  <c r="AW5" i="1"/>
  <c r="AW4" i="1"/>
  <c r="AQ4" i="1"/>
  <c r="BG4" i="1" s="1"/>
  <c r="AM4" i="1"/>
  <c r="AL4" i="1"/>
  <c r="AJ4" i="1"/>
  <c r="AI4" i="1"/>
  <c r="AF4" i="1"/>
  <c r="AN4" i="1" s="1"/>
  <c r="AN10" i="1" s="1"/>
  <c r="AE4" i="1"/>
  <c r="AD4" i="1"/>
  <c r="AK4" i="1" s="1"/>
  <c r="AW3" i="1"/>
  <c r="AD3" i="1"/>
  <c r="AK3" i="1" s="1"/>
  <c r="AP17" i="1" l="1"/>
  <c r="AP30" i="1"/>
  <c r="AP11" i="1"/>
  <c r="AI18" i="1"/>
  <c r="AE34" i="1"/>
  <c r="BC32" i="1"/>
  <c r="BD29" i="1"/>
  <c r="AP24" i="1"/>
  <c r="AL34" i="1"/>
  <c r="AP33" i="1"/>
  <c r="AP32" i="1"/>
  <c r="BD32" i="1"/>
  <c r="BF32" i="1" s="1"/>
  <c r="BE32" i="1"/>
  <c r="AX34" i="1"/>
  <c r="BC31" i="1"/>
  <c r="BD31" i="1"/>
  <c r="BC30" i="1"/>
  <c r="BE30" i="1"/>
  <c r="AF34" i="1"/>
  <c r="AM34" i="1"/>
  <c r="AR33" i="1" s="1"/>
  <c r="AR34" i="1" s="1"/>
  <c r="AP29" i="1"/>
  <c r="AP34" i="1" s="1"/>
  <c r="BC29" i="1"/>
  <c r="AJ34" i="1"/>
  <c r="BE28" i="1"/>
  <c r="BF28" i="1" s="1"/>
  <c r="AP28" i="1"/>
  <c r="BC28" i="1"/>
  <c r="AQ34" i="1"/>
  <c r="AP27" i="1"/>
  <c r="AI34" i="1"/>
  <c r="AD34" i="1"/>
  <c r="AP25" i="1"/>
  <c r="BC24" i="1"/>
  <c r="BD24" i="1"/>
  <c r="AP23" i="1"/>
  <c r="BC23" i="1"/>
  <c r="BD23" i="1"/>
  <c r="AP22" i="1"/>
  <c r="BC22" i="1"/>
  <c r="BD22" i="1"/>
  <c r="AJ26" i="1"/>
  <c r="AP21" i="1"/>
  <c r="BC21" i="1"/>
  <c r="BD21" i="1"/>
  <c r="AJ18" i="1"/>
  <c r="AP16" i="1"/>
  <c r="BE29" i="1"/>
  <c r="BF29" i="1" s="1"/>
  <c r="BE24" i="1"/>
  <c r="BF24" i="1" s="1"/>
  <c r="AP20" i="1"/>
  <c r="AS21" i="1" s="1"/>
  <c r="AE26" i="1"/>
  <c r="AL26" i="1"/>
  <c r="BC20" i="1"/>
  <c r="AB26" i="1"/>
  <c r="BD20" i="1"/>
  <c r="AQ26" i="1"/>
  <c r="R26" i="1"/>
  <c r="AF26" i="1"/>
  <c r="AM26" i="1"/>
  <c r="AR25" i="1" s="1"/>
  <c r="AR26" i="1" s="1"/>
  <c r="AX26" i="1"/>
  <c r="AH20" i="1"/>
  <c r="AO20" i="1"/>
  <c r="F26" i="1"/>
  <c r="I26" i="1" s="1"/>
  <c r="AD26" i="1"/>
  <c r="AI26" i="1"/>
  <c r="AP12" i="1"/>
  <c r="AS13" i="1" s="1"/>
  <c r="AO17" i="1"/>
  <c r="BD16" i="1"/>
  <c r="BE16" i="1"/>
  <c r="BC16" i="1"/>
  <c r="AO16" i="1"/>
  <c r="BD15" i="1"/>
  <c r="BE15" i="1"/>
  <c r="BF15" i="1" s="1"/>
  <c r="BC15" i="1"/>
  <c r="AO15" i="1"/>
  <c r="AP14" i="1"/>
  <c r="BD14" i="1"/>
  <c r="BE14" i="1"/>
  <c r="BF14" i="1" s="1"/>
  <c r="BC14" i="1"/>
  <c r="AS14" i="1"/>
  <c r="AS15" i="1" s="1"/>
  <c r="AO14" i="1"/>
  <c r="F18" i="1"/>
  <c r="I18" i="1" s="1"/>
  <c r="BD13" i="1"/>
  <c r="BE13" i="1"/>
  <c r="BF13" i="1" s="1"/>
  <c r="BC13" i="1"/>
  <c r="AO13" i="1"/>
  <c r="AF18" i="1"/>
  <c r="AM18" i="1"/>
  <c r="AR17" i="1" s="1"/>
  <c r="AR18" i="1" s="1"/>
  <c r="AE18" i="1"/>
  <c r="AL18" i="1"/>
  <c r="AB18" i="1"/>
  <c r="BE12" i="1"/>
  <c r="AQ18" i="1"/>
  <c r="AK18" i="1"/>
  <c r="AX18" i="1"/>
  <c r="AO12" i="1"/>
  <c r="BD12" i="1"/>
  <c r="AD18" i="1"/>
  <c r="F34" i="1"/>
  <c r="I34" i="1" s="1"/>
  <c r="AS28" i="1"/>
  <c r="AK34" i="1"/>
  <c r="BF30" i="1"/>
  <c r="BF31" i="1"/>
  <c r="BB33" i="1"/>
  <c r="AH27" i="1"/>
  <c r="BA27" i="1"/>
  <c r="BB28" i="1"/>
  <c r="BB29" i="1"/>
  <c r="BB30" i="1"/>
  <c r="BB31" i="1"/>
  <c r="BB32" i="1"/>
  <c r="BA33" i="1"/>
  <c r="BE33" i="1" s="1"/>
  <c r="BD27" i="1"/>
  <c r="BD33" i="1"/>
  <c r="AO27" i="1"/>
  <c r="AO34" i="1" s="1"/>
  <c r="AH28" i="1"/>
  <c r="AH29" i="1"/>
  <c r="AH30" i="1"/>
  <c r="AH31" i="1"/>
  <c r="AH32" i="1"/>
  <c r="AZ34" i="1"/>
  <c r="AY27" i="1"/>
  <c r="BB27" i="1" s="1"/>
  <c r="BG27" i="1"/>
  <c r="BG34" i="1" s="1"/>
  <c r="AK26" i="1"/>
  <c r="BB25" i="1"/>
  <c r="AH19" i="1"/>
  <c r="BE21" i="1"/>
  <c r="BF21" i="1" s="1"/>
  <c r="BE23" i="1"/>
  <c r="BF23" i="1" s="1"/>
  <c r="BA19" i="1"/>
  <c r="BB20" i="1"/>
  <c r="BB21" i="1"/>
  <c r="BB22" i="1"/>
  <c r="BB23" i="1"/>
  <c r="BB24" i="1"/>
  <c r="BA25" i="1"/>
  <c r="BE25" i="1" s="1"/>
  <c r="BE20" i="1"/>
  <c r="BF20" i="1" s="1"/>
  <c r="BE22" i="1"/>
  <c r="AO19" i="1"/>
  <c r="BD19" i="1"/>
  <c r="BD25" i="1"/>
  <c r="AZ26" i="1"/>
  <c r="AY19" i="1"/>
  <c r="BG19" i="1"/>
  <c r="BG26" i="1" s="1"/>
  <c r="BC17" i="1"/>
  <c r="AS12" i="1"/>
  <c r="BB12" i="1"/>
  <c r="BE17" i="1"/>
  <c r="BB17" i="1"/>
  <c r="AH11" i="1"/>
  <c r="BD11" i="1"/>
  <c r="BA11" i="1"/>
  <c r="BA18" i="1" s="1"/>
  <c r="BB13" i="1"/>
  <c r="BB14" i="1"/>
  <c r="BB15" i="1"/>
  <c r="BB16" i="1"/>
  <c r="BD17" i="1"/>
  <c r="AZ18" i="1"/>
  <c r="AO11" i="1"/>
  <c r="AH12" i="1"/>
  <c r="BC12" i="1"/>
  <c r="AH13" i="1"/>
  <c r="AH14" i="1"/>
  <c r="AH15" i="1"/>
  <c r="AH16" i="1"/>
  <c r="AH17" i="1"/>
  <c r="AY11" i="1"/>
  <c r="BG11" i="1"/>
  <c r="BG18" i="1" s="1"/>
  <c r="BC4" i="1"/>
  <c r="AO5" i="1"/>
  <c r="AP5" i="1"/>
  <c r="BD5" i="1"/>
  <c r="F10" i="1"/>
  <c r="AH5" i="1"/>
  <c r="BB5" i="1"/>
  <c r="BC7" i="1"/>
  <c r="AL10" i="1"/>
  <c r="AP4" i="1"/>
  <c r="AP7" i="1"/>
  <c r="BE8" i="1"/>
  <c r="AH9" i="1"/>
  <c r="AP9" i="1"/>
  <c r="AQ10" i="1"/>
  <c r="AP6" i="1"/>
  <c r="AO6" i="1"/>
  <c r="BB4" i="1"/>
  <c r="BB9" i="1"/>
  <c r="BB7" i="1"/>
  <c r="BE4" i="1"/>
  <c r="AF10" i="1"/>
  <c r="BC6" i="1"/>
  <c r="BE7" i="1"/>
  <c r="AD10" i="1"/>
  <c r="AI10" i="1"/>
  <c r="BD4" i="1"/>
  <c r="AH6" i="1"/>
  <c r="BD7" i="1"/>
  <c r="AK10" i="1"/>
  <c r="AB10" i="1"/>
  <c r="AE10" i="1"/>
  <c r="AJ10" i="1"/>
  <c r="AM10" i="1"/>
  <c r="AR9" i="1" s="1"/>
  <c r="AR10" i="1" s="1"/>
  <c r="AZ10" i="1"/>
  <c r="AH4" i="1"/>
  <c r="BD6" i="1"/>
  <c r="AH7" i="1"/>
  <c r="AP8" i="1"/>
  <c r="AO9" i="1"/>
  <c r="BB8" i="1"/>
  <c r="BC8" i="1"/>
  <c r="BD8" i="1"/>
  <c r="AY6" i="1"/>
  <c r="BE6" i="1" s="1"/>
  <c r="AO8" i="1"/>
  <c r="BD9" i="1"/>
  <c r="AX10" i="1"/>
  <c r="BA5" i="1"/>
  <c r="BC5" i="1" s="1"/>
  <c r="AO3" i="1"/>
  <c r="AP3" i="1"/>
  <c r="AY3" i="1"/>
  <c r="BB3" i="1" s="1"/>
  <c r="BC3" i="1"/>
  <c r="BG3" i="1"/>
  <c r="BG10" i="1" s="1"/>
  <c r="AO4" i="1"/>
  <c r="AO7" i="1"/>
  <c r="AH8" i="1"/>
  <c r="BA9" i="1"/>
  <c r="BC9" i="1" s="1"/>
  <c r="BF16" i="1" l="1"/>
  <c r="AP26" i="1"/>
  <c r="AS16" i="1"/>
  <c r="AS17" i="1" s="1"/>
  <c r="AS20" i="1"/>
  <c r="AH18" i="1"/>
  <c r="AP18" i="1"/>
  <c r="AS29" i="1"/>
  <c r="AS30" i="1" s="1"/>
  <c r="AS31" i="1" s="1"/>
  <c r="AS32" i="1" s="1"/>
  <c r="AS33" i="1" s="1"/>
  <c r="AS34" i="1"/>
  <c r="BA26" i="1"/>
  <c r="BC25" i="1"/>
  <c r="AS22" i="1"/>
  <c r="AS23" i="1" s="1"/>
  <c r="AS24" i="1" s="1"/>
  <c r="AS25" i="1" s="1"/>
  <c r="BF22" i="1"/>
  <c r="BF25" i="1"/>
  <c r="BB34" i="1"/>
  <c r="AO26" i="1"/>
  <c r="AH26" i="1"/>
  <c r="AS26" i="1"/>
  <c r="BF17" i="1"/>
  <c r="AS18" i="1"/>
  <c r="BF12" i="1"/>
  <c r="AO18" i="1"/>
  <c r="AS5" i="1"/>
  <c r="AY34" i="1"/>
  <c r="BE27" i="1"/>
  <c r="BE34" i="1" s="1"/>
  <c r="BF33" i="1"/>
  <c r="BA34" i="1"/>
  <c r="BC33" i="1"/>
  <c r="BD34" i="1"/>
  <c r="AH34" i="1"/>
  <c r="BC27" i="1"/>
  <c r="AY26" i="1"/>
  <c r="BE19" i="1"/>
  <c r="BE26" i="1" s="1"/>
  <c r="BB19" i="1"/>
  <c r="BB26" i="1" s="1"/>
  <c r="BC19" i="1"/>
  <c r="BD26" i="1"/>
  <c r="AY18" i="1"/>
  <c r="BE11" i="1"/>
  <c r="BE18" i="1" s="1"/>
  <c r="BB11" i="1"/>
  <c r="BB18" i="1" s="1"/>
  <c r="BC11" i="1"/>
  <c r="BC18" i="1" s="1"/>
  <c r="BF11" i="1"/>
  <c r="BD18" i="1"/>
  <c r="BF8" i="1"/>
  <c r="BE5" i="1"/>
  <c r="BF5" i="1" s="1"/>
  <c r="BF7" i="1"/>
  <c r="BF4" i="1"/>
  <c r="AH10" i="1"/>
  <c r="BF6" i="1"/>
  <c r="BB6" i="1"/>
  <c r="BB10" i="1" s="1"/>
  <c r="AO10" i="1"/>
  <c r="BA10" i="1"/>
  <c r="BE9" i="1"/>
  <c r="BF9" i="1" s="1"/>
  <c r="BD10" i="1"/>
  <c r="AY10" i="1"/>
  <c r="BE3" i="1"/>
  <c r="AP10" i="1"/>
  <c r="AS10" i="1" s="1"/>
  <c r="AS4" i="1"/>
  <c r="BC10" i="1"/>
  <c r="BC34" i="1" l="1"/>
  <c r="BF27" i="1"/>
  <c r="BH28" i="1" s="1"/>
  <c r="BH29" i="1" s="1"/>
  <c r="BH30" i="1" s="1"/>
  <c r="BH31" i="1" s="1"/>
  <c r="BC26" i="1"/>
  <c r="AS6" i="1"/>
  <c r="AS7" i="1" s="1"/>
  <c r="AS8" i="1" s="1"/>
  <c r="AS9" i="1" s="1"/>
  <c r="BF19" i="1"/>
  <c r="BH12" i="1"/>
  <c r="BH13" i="1" s="1"/>
  <c r="BH14" i="1" s="1"/>
  <c r="BH15" i="1" s="1"/>
  <c r="BH16" i="1" s="1"/>
  <c r="BH17" i="1" s="1"/>
  <c r="BF18" i="1"/>
  <c r="BE10" i="1"/>
  <c r="BF3" i="1"/>
  <c r="BH32" i="1" l="1"/>
  <c r="BH33" i="1" s="1"/>
  <c r="BF34" i="1"/>
  <c r="BH20" i="1"/>
  <c r="BH21" i="1" s="1"/>
  <c r="BH22" i="1" s="1"/>
  <c r="BH23" i="1" s="1"/>
  <c r="BH24" i="1" s="1"/>
  <c r="BH25" i="1" s="1"/>
  <c r="BF26" i="1"/>
  <c r="BF10" i="1"/>
  <c r="BH4" i="1"/>
  <c r="BH5" i="1" s="1"/>
  <c r="BH6" i="1" s="1"/>
  <c r="BH7" i="1" s="1"/>
  <c r="BH8" i="1" s="1"/>
  <c r="BH9" i="1" s="1"/>
  <c r="I10" i="1"/>
</calcChain>
</file>

<file path=xl/sharedStrings.xml><?xml version="1.0" encoding="utf-8"?>
<sst xmlns="http://schemas.openxmlformats.org/spreadsheetml/2006/main" count="1548" uniqueCount="223">
  <si>
    <t>0-4 km</t>
  </si>
  <si>
    <t>5-6 km</t>
  </si>
  <si>
    <t>&gt;7 km</t>
  </si>
  <si>
    <t>total</t>
  </si>
  <si>
    <t>Lunch</t>
  </si>
  <si>
    <t>Dinner</t>
  </si>
  <si>
    <t>LFY</t>
  </si>
  <si>
    <t>Uber Eat</t>
  </si>
  <si>
    <t>Home Delivery</t>
  </si>
  <si>
    <t>Eftpos</t>
  </si>
  <si>
    <t>Local for You  paid online</t>
  </si>
  <si>
    <t>Local for You  Cards</t>
  </si>
  <si>
    <t>Local for You  Cash</t>
  </si>
  <si>
    <t>Uber Eat        Paid online</t>
  </si>
  <si>
    <t>Cash left in Bag</t>
  </si>
  <si>
    <t>Total Sale</t>
  </si>
  <si>
    <t>Cash Sale</t>
  </si>
  <si>
    <t>Uber Eat    Paid online</t>
  </si>
  <si>
    <t>Cash left in bag</t>
  </si>
  <si>
    <t>Total              Eftpos</t>
  </si>
  <si>
    <t>Daily   online                Local for You</t>
  </si>
  <si>
    <t>Daily online                 Uber Eat</t>
  </si>
  <si>
    <t>Total                    Cash</t>
  </si>
  <si>
    <t>Total Lunch</t>
  </si>
  <si>
    <t>Total Dinner</t>
  </si>
  <si>
    <t>Total Eftpos + Credit</t>
  </si>
  <si>
    <t>Total Local for You</t>
  </si>
  <si>
    <t>Total Uber Eat</t>
  </si>
  <si>
    <t>Total Cash</t>
  </si>
  <si>
    <t>Total</t>
  </si>
  <si>
    <t>Total Cash left in bag</t>
  </si>
  <si>
    <t>Cash</t>
  </si>
  <si>
    <t xml:space="preserve">Total </t>
  </si>
  <si>
    <t>Total - Expense = Cash in the Bag</t>
  </si>
  <si>
    <t>Monday</t>
  </si>
  <si>
    <t>Tuesday</t>
  </si>
  <si>
    <t>Wednesday</t>
  </si>
  <si>
    <t>Thursday</t>
  </si>
  <si>
    <t>Friday</t>
  </si>
  <si>
    <t>Uber  Real Pay</t>
  </si>
  <si>
    <t>Saturday</t>
  </si>
  <si>
    <t>Sunday</t>
  </si>
  <si>
    <t>Sum</t>
  </si>
  <si>
    <t>Total Eftpos + Uber +online order</t>
  </si>
  <si>
    <t>LUNCH</t>
  </si>
  <si>
    <t>DINNER</t>
  </si>
  <si>
    <t>WAGE ADJUSTED</t>
  </si>
  <si>
    <t>Rate</t>
  </si>
  <si>
    <t>4/4.5 hrs</t>
  </si>
  <si>
    <t>extra</t>
  </si>
  <si>
    <t>WAGE</t>
  </si>
  <si>
    <t>TAX</t>
  </si>
  <si>
    <t>CASH PAID</t>
  </si>
  <si>
    <t>Remaining cash</t>
  </si>
  <si>
    <t>Sue</t>
  </si>
  <si>
    <t xml:space="preserve">Nick </t>
  </si>
  <si>
    <t xml:space="preserve">Mek </t>
  </si>
  <si>
    <t>return 463 to Epping for tax</t>
  </si>
  <si>
    <t>Run</t>
  </si>
  <si>
    <t>90/115</t>
  </si>
  <si>
    <t xml:space="preserve"> ** start tax 25-31/08/25</t>
  </si>
  <si>
    <t xml:space="preserve">Cha </t>
  </si>
  <si>
    <t>85/115</t>
  </si>
  <si>
    <t xml:space="preserve">Win </t>
  </si>
  <si>
    <t>95/120</t>
  </si>
  <si>
    <t>Kaew</t>
  </si>
  <si>
    <t>P'Tee</t>
  </si>
  <si>
    <t>Mata</t>
  </si>
  <si>
    <t>Krong</t>
  </si>
  <si>
    <t xml:space="preserve">Jan </t>
  </si>
  <si>
    <t xml:space="preserve">Nee </t>
  </si>
  <si>
    <t>Whan</t>
  </si>
  <si>
    <t>Peak</t>
  </si>
  <si>
    <t>Milk</t>
  </si>
  <si>
    <t>Gam</t>
  </si>
  <si>
    <t xml:space="preserve">Kai </t>
  </si>
  <si>
    <t xml:space="preserve">. </t>
  </si>
  <si>
    <t>**เลิกโอนไก่ แต่ยังจ่าย Tax+super อยู่ 5 hrs - start wk 17-23/11/25</t>
  </si>
  <si>
    <t>Phiaz</t>
  </si>
  <si>
    <t>Pond</t>
  </si>
  <si>
    <t>Extra</t>
  </si>
  <si>
    <t>T-Front</t>
  </si>
  <si>
    <t>SALE</t>
  </si>
  <si>
    <t>T-Back</t>
  </si>
  <si>
    <t>Lunch Wage</t>
  </si>
  <si>
    <t>Dinner Wage</t>
  </si>
  <si>
    <t>Since 29/12/25</t>
  </si>
  <si>
    <t>120/130</t>
  </si>
  <si>
    <t>115/125</t>
  </si>
  <si>
    <t>100/120</t>
  </si>
  <si>
    <t>105/120</t>
  </si>
  <si>
    <t>110/130</t>
  </si>
  <si>
    <t>88/100</t>
  </si>
  <si>
    <t>86/97</t>
  </si>
  <si>
    <t>130/160</t>
  </si>
  <si>
    <t xml:space="preserve">Lunch </t>
  </si>
  <si>
    <t>Credit</t>
  </si>
  <si>
    <t>Grand Total</t>
  </si>
  <si>
    <t>$</t>
  </si>
  <si>
    <t>Mon</t>
  </si>
  <si>
    <t>Home</t>
  </si>
  <si>
    <t>ww</t>
  </si>
  <si>
    <t>Tue</t>
  </si>
  <si>
    <t>Wed</t>
  </si>
  <si>
    <t>PAID</t>
  </si>
  <si>
    <t>Thu</t>
  </si>
  <si>
    <t>Run returned</t>
  </si>
  <si>
    <t>Fri</t>
  </si>
  <si>
    <t>Cash sales</t>
  </si>
  <si>
    <t>cash from bank</t>
  </si>
  <si>
    <t>Total cash</t>
  </si>
  <si>
    <t>Sat</t>
  </si>
  <si>
    <t>Run will return</t>
  </si>
  <si>
    <t>Expenses</t>
  </si>
  <si>
    <t>Wage (Cash)</t>
  </si>
  <si>
    <t>Total Exp.</t>
  </si>
  <si>
    <t xml:space="preserve"> </t>
  </si>
  <si>
    <t>Remaining</t>
  </si>
  <si>
    <t>Sun</t>
  </si>
  <si>
    <t xml:space="preserve">Cash left  in the bag  </t>
  </si>
  <si>
    <t>Total Wage</t>
  </si>
  <si>
    <t>TAX/PAID</t>
  </si>
  <si>
    <t>Total Expenses</t>
  </si>
  <si>
    <t>Wage (CASH)</t>
  </si>
  <si>
    <t>EXPENSES 29/12/2025 to 04/01/2026</t>
  </si>
  <si>
    <t>CLOSED</t>
  </si>
  <si>
    <t>Income</t>
  </si>
  <si>
    <t>Expense</t>
  </si>
  <si>
    <t>Wage</t>
  </si>
  <si>
    <t>29/12/25 - 04/01/26</t>
  </si>
  <si>
    <t>Weekly</t>
  </si>
  <si>
    <t>Extra + Surcharge</t>
  </si>
  <si>
    <t>ADVANCED $500 / 1st pay back $250</t>
  </si>
  <si>
    <t>29/12/2025 To 04/1/2026</t>
  </si>
  <si>
    <t>Nick returned</t>
  </si>
  <si>
    <t>Jan returned</t>
  </si>
  <si>
    <t>Whan - Tue start at 6 pm. $78</t>
  </si>
  <si>
    <t>Pond - Fri Start 5.30 pm. $86.50</t>
  </si>
  <si>
    <t>Jan - Tue (by her own)extra $20 : Wed - start 6 pm $104 : Fri start 5.30 pm $117</t>
  </si>
  <si>
    <t>Win return 1st of $500</t>
  </si>
  <si>
    <t>BBQ ducks</t>
  </si>
  <si>
    <t>Asian Hub</t>
  </si>
  <si>
    <t>kmart</t>
  </si>
  <si>
    <t>Aldi</t>
  </si>
  <si>
    <t>Extra (l)</t>
  </si>
  <si>
    <t>Extra (d)</t>
  </si>
  <si>
    <t>Return cash to Epping</t>
  </si>
  <si>
    <t>Party</t>
  </si>
  <si>
    <t xml:space="preserve"> used voucher</t>
  </si>
  <si>
    <t/>
  </si>
  <si>
    <t>EXPENSES 05/01/2026 to 11/01/2026</t>
  </si>
  <si>
    <t>Win return 2nd of $500</t>
  </si>
  <si>
    <t>END</t>
  </si>
  <si>
    <t>05/01/2026 To 11/1/2026</t>
  </si>
  <si>
    <t>Chef Knifes</t>
  </si>
  <si>
    <t>Homeart</t>
  </si>
  <si>
    <t>Imperial meat</t>
  </si>
  <si>
    <t>Thai Grocery</t>
  </si>
  <si>
    <t>tip</t>
  </si>
  <si>
    <t>Bob</t>
  </si>
  <si>
    <t>ADVANCED $500 /2nd pay back $250</t>
  </si>
  <si>
    <t>DONE</t>
  </si>
  <si>
    <t>05/01/26 - 11/01/26</t>
  </si>
  <si>
    <t xml:space="preserve">Extra (d) </t>
  </si>
  <si>
    <t>DoorDash</t>
  </si>
  <si>
    <t>Daily Online DoorDash</t>
  </si>
  <si>
    <t>Total DoorDash</t>
  </si>
  <si>
    <t>EXPENSES 12/01/2026 to 18/01/2026</t>
  </si>
  <si>
    <t>12/01/2026 To 18/1/2026</t>
  </si>
  <si>
    <t>12/01/26 - 18/01/26</t>
  </si>
  <si>
    <t>ww(11/1)</t>
  </si>
  <si>
    <t>Ducks</t>
  </si>
  <si>
    <t>priceline</t>
  </si>
  <si>
    <t>BWS</t>
  </si>
  <si>
    <t>used voucher</t>
  </si>
  <si>
    <t>Milk - Fri made icecream 3 hrs = $60</t>
  </si>
  <si>
    <t>EXPENSES 19/01/2026 to 25/01/2026</t>
  </si>
  <si>
    <t>19/01/2026 To 25/1/2026</t>
  </si>
  <si>
    <t>coles</t>
  </si>
  <si>
    <t>filter service</t>
  </si>
  <si>
    <t>homeart</t>
  </si>
  <si>
    <t>Temu (jan)</t>
  </si>
  <si>
    <t>tea (jan mail)</t>
  </si>
  <si>
    <t>use vourcher</t>
  </si>
  <si>
    <t>19/01/26 - 25/01/26</t>
  </si>
  <si>
    <t>EXPENSES 26/01/2026 to 01/02/2026</t>
  </si>
  <si>
    <t>26/01/2026 To 01/02/2026</t>
  </si>
  <si>
    <t>Pond - Tue Start 6pm $75.5</t>
  </si>
  <si>
    <t>Jan - Sat lunch get $20 extra (by herself on floor)</t>
  </si>
  <si>
    <t>bbq ducks</t>
  </si>
  <si>
    <t>Asian imperial</t>
  </si>
  <si>
    <t>PUBLIC HOLIDAY</t>
  </si>
  <si>
    <t>Public Holiday</t>
  </si>
  <si>
    <t>26/01/26  - 01/02/26</t>
  </si>
  <si>
    <t>02/02/26 - 08/02/26</t>
  </si>
  <si>
    <t>EXPENSES 02/02/2026 to 08/02/2026</t>
  </si>
  <si>
    <t>02/02/2026 To 08/02/2026</t>
  </si>
  <si>
    <t>Tony</t>
  </si>
  <si>
    <t>100/125</t>
  </si>
  <si>
    <t>M</t>
  </si>
  <si>
    <t>Amy</t>
  </si>
  <si>
    <t>Wage M</t>
  </si>
  <si>
    <t>Temu (online) - Jan</t>
  </si>
  <si>
    <t>$20 x 4.5 hrs = $90 pay til 01/03/26 Then increase rate to $21.5</t>
  </si>
  <si>
    <t>Whan - Sun 6-8 pm = $50</t>
  </si>
  <si>
    <t>Jib</t>
  </si>
  <si>
    <t>09/02/2026 To 15/02/2026</t>
  </si>
  <si>
    <t>EXPENSES 009/02/2026 to 15/02/2026</t>
  </si>
  <si>
    <t>Win returned 1st</t>
  </si>
  <si>
    <t>advanced 11/2/26 $600 - return 1st $300</t>
  </si>
  <si>
    <t>Wage - Pond shorted from last week</t>
  </si>
  <si>
    <t>Priceline</t>
  </si>
  <si>
    <t>Ikea</t>
  </si>
  <si>
    <t>Pontip</t>
  </si>
  <si>
    <t>9/02/26 - 15/02/26</t>
  </si>
  <si>
    <t>184,75</t>
  </si>
  <si>
    <t>EXPENSES 16/02/2026 to 22/02/2026</t>
  </si>
  <si>
    <t>16/02/2026 To 22/02/2026</t>
  </si>
  <si>
    <t>Dan murphy</t>
  </si>
  <si>
    <t>Nee - Sat start 5.30 pm = $89</t>
  </si>
  <si>
    <t>16/02/2026 - 22/02/26</t>
  </si>
  <si>
    <t>advanced 11/2/26 $600 - return2nd $300</t>
  </si>
  <si>
    <t>Win returned 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</si>
</sst>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87" formatCode="&quot;$&quot;#,##0;[Red]\-&quot;$&quot;#,##0"/>
    <numFmt numFmtId="188" formatCode="&quot;$&quot;#,##0.00;[Red]\-&quot;$&quot;#,##0.00"/>
    <numFmt numFmtId="189" formatCode="_-&quot;$&quot;* #,##0.00_-;\-&quot;$&quot;* #,##0.00_-;_-&quot;$&quot;* &quot;-&quot;??_-;_-@_-"/>
    <numFmt numFmtId="190" formatCode="[$$-C09]#,##0.00"/>
    <numFmt numFmtId="191" formatCode="dd/mm/yyyy;@"/>
    <numFmt numFmtId="192" formatCode="&quot;$&quot;#,##0.00"/>
    <numFmt numFmtId="193" formatCode="_(&quot;$&quot;* #,##0.00_);_(&quot;$&quot;* \(#,##0.00\);_(&quot;$&quot;* &quot;-&quot;??_);_(@_)"/>
    <numFmt numFmtId="194" formatCode="[$$-409]#,##0.00_ ;\-[$$-409]#,##0.00\ "/>
    <numFmt numFmtId="195" formatCode="_-[$$-409]* #,##0.00_ ;_-[$$-409]* \-#,##0.00\ ;_-[$$-409]* &quot;-&quot;??_ ;_-@_ "/>
    <numFmt numFmtId="196" formatCode="_([$$-409]* #,##0.00_);_([$$-409]* \(#,##0.00\);_([$$-409]* &quot;-&quot;??_);_(@_)"/>
    <numFmt numFmtId="197" formatCode="[$$-C09]#,##0"/>
  </numFmts>
  <fonts count="4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u/>
      <sz val="10"/>
      <color theme="0"/>
      <name val="Tahoma"/>
      <family val="2"/>
      <scheme val="minor"/>
    </font>
    <font>
      <u/>
      <sz val="10"/>
      <color theme="3" tint="-0.249977111117893"/>
      <name val="Tahoma"/>
      <family val="2"/>
      <charset val="222"/>
      <scheme val="minor"/>
    </font>
    <font>
      <b/>
      <u/>
      <sz val="10"/>
      <color theme="3" tint="-0.249977111117893"/>
      <name val="Tahoma"/>
      <family val="2"/>
      <scheme val="minor"/>
    </font>
    <font>
      <sz val="10"/>
      <color theme="0"/>
      <name val="Tahoma"/>
      <family val="2"/>
      <charset val="222"/>
      <scheme val="minor"/>
    </font>
    <font>
      <b/>
      <u/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u/>
      <sz val="10"/>
      <color theme="0"/>
      <name val="Tahoma"/>
      <family val="2"/>
      <charset val="222"/>
      <scheme val="minor"/>
    </font>
    <font>
      <b/>
      <u/>
      <sz val="9"/>
      <color theme="3" tint="-0.249977111117893"/>
      <name val="Tahoma"/>
      <family val="2"/>
      <scheme val="minor"/>
    </font>
    <font>
      <b/>
      <i/>
      <sz val="11"/>
      <color theme="1"/>
      <name val="Tahoma"/>
      <family val="2"/>
      <scheme val="minor"/>
    </font>
    <font>
      <sz val="10"/>
      <color theme="1" tint="0.34998626667073579"/>
      <name val="Tahoma"/>
      <family val="2"/>
      <charset val="222"/>
      <scheme val="minor"/>
    </font>
    <font>
      <u/>
      <sz val="10"/>
      <color theme="1" tint="0.34998626667073579"/>
      <name val="Tahoma"/>
      <family val="2"/>
      <scheme val="minor"/>
    </font>
    <font>
      <sz val="11"/>
      <color theme="1" tint="0.34998626667073579"/>
      <name val="Tahoma"/>
      <family val="2"/>
      <scheme val="minor"/>
    </font>
    <font>
      <sz val="10"/>
      <color theme="1" tint="0.34998626667073579"/>
      <name val="Tahoma"/>
      <family val="2"/>
      <scheme val="minor"/>
    </font>
    <font>
      <sz val="10"/>
      <color theme="1" tint="0.249977111117893"/>
      <name val="Tahoma"/>
      <family val="2"/>
      <charset val="222"/>
      <scheme val="minor"/>
    </font>
    <font>
      <sz val="10"/>
      <color theme="3" tint="-0.249977111117893"/>
      <name val="Tahoma"/>
      <family val="2"/>
      <charset val="222"/>
      <scheme val="minor"/>
    </font>
    <font>
      <sz val="10"/>
      <name val="Tahoma"/>
      <family val="2"/>
      <scheme val="minor"/>
    </font>
    <font>
      <sz val="10"/>
      <color rgb="FFFF0000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b/>
      <u/>
      <sz val="11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b/>
      <sz val="11"/>
      <name val="Tahoma"/>
      <family val="2"/>
      <scheme val="minor"/>
    </font>
    <font>
      <sz val="11"/>
      <name val="Tahoma"/>
      <family val="2"/>
      <scheme val="minor"/>
    </font>
    <font>
      <sz val="11"/>
      <color theme="0"/>
      <name val="Tahoma"/>
      <family val="2"/>
      <charset val="222"/>
      <scheme val="minor"/>
    </font>
    <font>
      <b/>
      <u/>
      <sz val="10"/>
      <color theme="1"/>
      <name val="Tahoma"/>
      <family val="2"/>
      <scheme val="minor"/>
    </font>
    <font>
      <b/>
      <u val="singleAccounting"/>
      <sz val="11"/>
      <color theme="1"/>
      <name val="Tahoma"/>
      <family val="2"/>
      <scheme val="minor"/>
    </font>
    <font>
      <b/>
      <i/>
      <sz val="10"/>
      <color theme="1"/>
      <name val="Tahoma"/>
      <family val="2"/>
      <scheme val="minor"/>
    </font>
    <font>
      <b/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sz val="10"/>
      <color theme="3" tint="-0.249977111117893"/>
      <name val="Tahoma"/>
      <family val="2"/>
      <scheme val="minor"/>
    </font>
    <font>
      <sz val="11"/>
      <color rgb="FF000000"/>
      <name val="Tahoma"/>
      <family val="2"/>
      <scheme val="minor"/>
    </font>
    <font>
      <b/>
      <sz val="11"/>
      <color rgb="FF000000"/>
      <name val="Tahoma"/>
      <family val="2"/>
      <scheme val="minor"/>
    </font>
    <font>
      <b/>
      <sz val="10"/>
      <color rgb="FF000000"/>
      <name val="Tahoma"/>
      <family val="2"/>
      <scheme val="minor"/>
    </font>
    <font>
      <sz val="10"/>
      <color rgb="FF595959"/>
      <name val="Tahoma"/>
      <family val="2"/>
      <charset val="222"/>
      <scheme val="minor"/>
    </font>
    <font>
      <sz val="10"/>
      <color rgb="FF000000"/>
      <name val="Tahoma"/>
      <family val="2"/>
      <charset val="222"/>
      <scheme val="minor"/>
    </font>
    <font>
      <b/>
      <sz val="10"/>
      <color rgb="FF333F4F"/>
      <name val="Tahoma"/>
      <family val="2"/>
      <scheme val="minor"/>
    </font>
    <font>
      <sz val="11"/>
      <color rgb="FFFFFFFF"/>
      <name val="Tahoma"/>
      <family val="2"/>
      <charset val="222"/>
      <scheme val="minor"/>
    </font>
    <font>
      <b/>
      <i/>
      <sz val="10"/>
      <color rgb="FF000000"/>
      <name val="Tahoma"/>
      <family val="2"/>
      <scheme val="minor"/>
    </font>
    <font>
      <b/>
      <i/>
      <sz val="11"/>
      <color rgb="FF000000"/>
      <name val="Tahoma"/>
      <family val="2"/>
      <scheme val="minor"/>
    </font>
    <font>
      <sz val="11"/>
      <color rgb="FFFF0000"/>
      <name val="Tahoma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66FF66"/>
        <bgColor indexed="64"/>
      </patternFill>
    </fill>
    <fill>
      <patternFill patternType="solid">
        <fgColor theme="5" tint="-0.249977111117893"/>
        <bgColor indexed="64"/>
      </patternFill>
    </fill>
  </fills>
  <borders count="90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9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0" fontId="1" fillId="0" borderId="0"/>
    <xf numFmtId="189" fontId="1" fillId="0" borderId="0" applyFont="0" applyFill="0" applyBorder="0" applyAlignment="0" applyProtection="0"/>
  </cellStyleXfs>
  <cellXfs count="589">
    <xf numFmtId="0" fontId="0" fillId="0" borderId="0" xfId="0"/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4" fillId="3" borderId="3" xfId="1" applyFill="1" applyBorder="1" applyAlignment="1">
      <alignment horizontal="center"/>
    </xf>
    <xf numFmtId="0" fontId="0" fillId="3" borderId="4" xfId="1" applyFont="1" applyFill="1" applyBorder="1" applyAlignment="1">
      <alignment horizontal="center"/>
    </xf>
    <xf numFmtId="0" fontId="0" fillId="3" borderId="5" xfId="1" applyFont="1" applyFill="1" applyBorder="1" applyAlignment="1">
      <alignment horizontal="center"/>
    </xf>
    <xf numFmtId="190" fontId="6" fillId="5" borderId="0" xfId="1" applyNumberFormat="1" applyFont="1" applyFill="1" applyAlignment="1">
      <alignment horizontal="center" vertical="center"/>
    </xf>
    <xf numFmtId="190" fontId="5" fillId="2" borderId="0" xfId="1" applyNumberFormat="1" applyFont="1" applyFill="1" applyAlignment="1">
      <alignment horizontal="right"/>
    </xf>
    <xf numFmtId="0" fontId="4" fillId="0" borderId="0" xfId="1"/>
    <xf numFmtId="190" fontId="7" fillId="2" borderId="11" xfId="1" applyNumberFormat="1" applyFont="1" applyFill="1" applyBorder="1"/>
    <xf numFmtId="190" fontId="8" fillId="2" borderId="11" xfId="1" applyNumberFormat="1" applyFont="1" applyFill="1" applyBorder="1"/>
    <xf numFmtId="0" fontId="4" fillId="2" borderId="11" xfId="1" applyFill="1" applyBorder="1"/>
    <xf numFmtId="2" fontId="10" fillId="0" borderId="0" xfId="1" applyNumberFormat="1" applyFont="1"/>
    <xf numFmtId="0" fontId="4" fillId="3" borderId="12" xfId="1" applyFill="1" applyBorder="1" applyAlignment="1">
      <alignment horizontal="center" vertical="center"/>
    </xf>
    <xf numFmtId="0" fontId="4" fillId="3" borderId="15" xfId="1" applyFill="1" applyBorder="1" applyAlignment="1">
      <alignment horizontal="center"/>
    </xf>
    <xf numFmtId="0" fontId="5" fillId="7" borderId="16" xfId="1" applyFont="1" applyFill="1" applyBorder="1" applyAlignment="1">
      <alignment horizontal="center" vertical="center"/>
    </xf>
    <xf numFmtId="0" fontId="4" fillId="8" borderId="17" xfId="1" applyFill="1" applyBorder="1" applyAlignment="1">
      <alignment horizontal="center" vertical="center" wrapText="1"/>
    </xf>
    <xf numFmtId="0" fontId="5" fillId="10" borderId="17" xfId="1" applyFont="1" applyFill="1" applyBorder="1" applyAlignment="1">
      <alignment horizontal="center" vertical="center" wrapText="1"/>
    </xf>
    <xf numFmtId="0" fontId="5" fillId="11" borderId="17" xfId="1" applyFont="1" applyFill="1" applyBorder="1" applyAlignment="1">
      <alignment horizontal="center" vertical="center" wrapText="1"/>
    </xf>
    <xf numFmtId="0" fontId="5" fillId="4" borderId="18" xfId="1" applyFont="1" applyFill="1" applyBorder="1" applyAlignment="1">
      <alignment horizontal="center" vertical="center" wrapText="1"/>
    </xf>
    <xf numFmtId="0" fontId="9" fillId="12" borderId="19" xfId="1" applyFont="1" applyFill="1" applyBorder="1" applyAlignment="1">
      <alignment horizontal="center" vertical="center"/>
    </xf>
    <xf numFmtId="0" fontId="9" fillId="6" borderId="20" xfId="1" applyFont="1" applyFill="1" applyBorder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11" fillId="7" borderId="2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11" fillId="10" borderId="10" xfId="1" applyFont="1" applyFill="1" applyBorder="1" applyAlignment="1">
      <alignment horizontal="center" vertical="center" wrapText="1"/>
    </xf>
    <xf numFmtId="0" fontId="11" fillId="13" borderId="10" xfId="1" applyFont="1" applyFill="1" applyBorder="1" applyAlignment="1">
      <alignment horizontal="center" vertical="center" wrapText="1"/>
    </xf>
    <xf numFmtId="190" fontId="7" fillId="2" borderId="10" xfId="1" applyNumberFormat="1" applyFont="1" applyFill="1" applyBorder="1" applyAlignment="1">
      <alignment horizontal="center" vertical="center" wrapText="1"/>
    </xf>
    <xf numFmtId="190" fontId="12" fillId="7" borderId="10" xfId="1" applyNumberFormat="1" applyFont="1" applyFill="1" applyBorder="1" applyAlignment="1">
      <alignment horizontal="center" vertical="center" wrapText="1"/>
    </xf>
    <xf numFmtId="190" fontId="7" fillId="8" borderId="10" xfId="1" applyNumberFormat="1" applyFont="1" applyFill="1" applyBorder="1" applyAlignment="1">
      <alignment horizontal="center" vertical="center" wrapText="1"/>
    </xf>
    <xf numFmtId="190" fontId="7" fillId="10" borderId="10" xfId="1" applyNumberFormat="1" applyFont="1" applyFill="1" applyBorder="1" applyAlignment="1">
      <alignment horizontal="center" vertical="center" wrapText="1"/>
    </xf>
    <xf numFmtId="190" fontId="7" fillId="11" borderId="10" xfId="1" applyNumberFormat="1" applyFont="1" applyFill="1" applyBorder="1" applyAlignment="1">
      <alignment horizontal="center" vertical="center" wrapText="1"/>
    </xf>
    <xf numFmtId="0" fontId="4" fillId="13" borderId="0" xfId="1" applyFill="1"/>
    <xf numFmtId="0" fontId="4" fillId="14" borderId="0" xfId="1" applyFill="1"/>
    <xf numFmtId="0" fontId="5" fillId="2" borderId="11" xfId="1" applyFont="1" applyFill="1" applyBorder="1" applyAlignment="1">
      <alignment horizontal="center"/>
    </xf>
    <xf numFmtId="0" fontId="5" fillId="10" borderId="11" xfId="1" applyFont="1" applyFill="1" applyBorder="1" applyAlignment="1">
      <alignment horizontal="center" vertical="center"/>
    </xf>
    <xf numFmtId="190" fontId="7" fillId="2" borderId="11" xfId="1" applyNumberFormat="1" applyFont="1" applyFill="1" applyBorder="1" applyAlignment="1">
      <alignment horizontal="center" vertical="center"/>
    </xf>
    <xf numFmtId="190" fontId="7" fillId="10" borderId="11" xfId="1" applyNumberFormat="1" applyFont="1" applyFill="1" applyBorder="1" applyAlignment="1">
      <alignment horizontal="center" vertical="center" wrapText="1"/>
    </xf>
    <xf numFmtId="190" fontId="7" fillId="10" borderId="11" xfId="1" applyNumberFormat="1" applyFont="1" applyFill="1" applyBorder="1" applyAlignment="1">
      <alignment horizontal="center" vertical="center"/>
    </xf>
    <xf numFmtId="190" fontId="13" fillId="10" borderId="11" xfId="1" applyNumberFormat="1" applyFont="1" applyFill="1" applyBorder="1" applyAlignment="1">
      <alignment horizontal="center" vertical="center"/>
    </xf>
    <xf numFmtId="190" fontId="13" fillId="2" borderId="11" xfId="1" applyNumberFormat="1" applyFont="1" applyFill="1" applyBorder="1" applyAlignment="1">
      <alignment horizontal="center" vertical="center" wrapText="1" shrinkToFit="1"/>
    </xf>
    <xf numFmtId="187" fontId="14" fillId="0" borderId="0" xfId="1" applyNumberFormat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5" fillId="0" borderId="2" xfId="1" applyFont="1" applyBorder="1"/>
    <xf numFmtId="191" fontId="5" fillId="0" borderId="21" xfId="1" applyNumberFormat="1" applyFont="1" applyBorder="1"/>
    <xf numFmtId="0" fontId="4" fillId="10" borderId="22" xfId="1" applyFill="1" applyBorder="1" applyAlignment="1">
      <alignment horizontal="center"/>
    </xf>
    <xf numFmtId="0" fontId="4" fillId="15" borderId="22" xfId="1" applyFill="1" applyBorder="1" applyAlignment="1">
      <alignment horizontal="center"/>
    </xf>
    <xf numFmtId="0" fontId="4" fillId="2" borderId="23" xfId="1" applyFill="1" applyBorder="1" applyAlignment="1">
      <alignment horizontal="center"/>
    </xf>
    <xf numFmtId="190" fontId="15" fillId="16" borderId="24" xfId="1" applyNumberFormat="1" applyFont="1" applyFill="1" applyBorder="1" applyAlignment="1">
      <alignment horizontal="right"/>
    </xf>
    <xf numFmtId="190" fontId="15" fillId="17" borderId="10" xfId="1" applyNumberFormat="1" applyFont="1" applyFill="1" applyBorder="1" applyAlignment="1">
      <alignment horizontal="right"/>
    </xf>
    <xf numFmtId="190" fontId="15" fillId="9" borderId="10" xfId="1" applyNumberFormat="1" applyFont="1" applyFill="1" applyBorder="1" applyAlignment="1">
      <alignment horizontal="right"/>
    </xf>
    <xf numFmtId="190" fontId="15" fillId="17" borderId="21" xfId="1" applyNumberFormat="1" applyFont="1" applyFill="1" applyBorder="1" applyAlignment="1">
      <alignment horizontal="right"/>
    </xf>
    <xf numFmtId="190" fontId="12" fillId="12" borderId="25" xfId="1" applyNumberFormat="1" applyFont="1" applyFill="1" applyBorder="1" applyAlignment="1">
      <alignment horizontal="right"/>
    </xf>
    <xf numFmtId="190" fontId="12" fillId="6" borderId="26" xfId="1" applyNumberFormat="1" applyFont="1" applyFill="1" applyBorder="1" applyAlignment="1">
      <alignment horizontal="right"/>
    </xf>
    <xf numFmtId="190" fontId="12" fillId="5" borderId="0" xfId="1" applyNumberFormat="1" applyFont="1" applyFill="1" applyAlignment="1">
      <alignment horizontal="right"/>
    </xf>
    <xf numFmtId="190" fontId="15" fillId="9" borderId="2" xfId="1" applyNumberFormat="1" applyFont="1" applyFill="1" applyBorder="1" applyAlignment="1">
      <alignment horizontal="right"/>
    </xf>
    <xf numFmtId="190" fontId="16" fillId="9" borderId="10" xfId="1" applyNumberFormat="1" applyFont="1" applyFill="1" applyBorder="1"/>
    <xf numFmtId="190" fontId="17" fillId="18" borderId="10" xfId="1" applyNumberFormat="1" applyFont="1" applyFill="1" applyBorder="1"/>
    <xf numFmtId="190" fontId="18" fillId="18" borderId="10" xfId="1" applyNumberFormat="1" applyFont="1" applyFill="1" applyBorder="1"/>
    <xf numFmtId="190" fontId="9" fillId="19" borderId="10" xfId="1" applyNumberFormat="1" applyFont="1" applyFill="1" applyBorder="1"/>
    <xf numFmtId="190" fontId="19" fillId="8" borderId="10" xfId="1" applyNumberFormat="1" applyFont="1" applyFill="1" applyBorder="1"/>
    <xf numFmtId="190" fontId="19" fillId="10" borderId="10" xfId="1" applyNumberFormat="1" applyFont="1" applyFill="1" applyBorder="1"/>
    <xf numFmtId="190" fontId="15" fillId="20" borderId="10" xfId="1" applyNumberFormat="1" applyFont="1" applyFill="1" applyBorder="1"/>
    <xf numFmtId="190" fontId="15" fillId="21" borderId="10" xfId="1" applyNumberFormat="1" applyFont="1" applyFill="1" applyBorder="1" applyAlignment="1">
      <alignment horizontal="right"/>
    </xf>
    <xf numFmtId="190" fontId="19" fillId="22" borderId="0" xfId="1" applyNumberFormat="1" applyFont="1" applyFill="1" applyAlignment="1">
      <alignment horizontal="right"/>
    </xf>
    <xf numFmtId="190" fontId="9" fillId="13" borderId="0" xfId="1" applyNumberFormat="1" applyFont="1" applyFill="1" applyAlignment="1">
      <alignment horizontal="right"/>
    </xf>
    <xf numFmtId="0" fontId="5" fillId="0" borderId="27" xfId="1" applyFont="1" applyBorder="1"/>
    <xf numFmtId="191" fontId="5" fillId="0" borderId="27" xfId="1" applyNumberFormat="1" applyFont="1" applyBorder="1"/>
    <xf numFmtId="190" fontId="15" fillId="0" borderId="27" xfId="1" applyNumberFormat="1" applyFont="1" applyBorder="1"/>
    <xf numFmtId="190" fontId="15" fillId="5" borderId="27" xfId="1" applyNumberFormat="1" applyFont="1" applyFill="1" applyBorder="1"/>
    <xf numFmtId="190" fontId="19" fillId="23" borderId="27" xfId="1" applyNumberFormat="1" applyFont="1" applyFill="1" applyBorder="1"/>
    <xf numFmtId="190" fontId="19" fillId="24" borderId="27" xfId="1" applyNumberFormat="1" applyFont="1" applyFill="1" applyBorder="1"/>
    <xf numFmtId="190" fontId="20" fillId="21" borderId="27" xfId="1" applyNumberFormat="1" applyFont="1" applyFill="1" applyBorder="1"/>
    <xf numFmtId="190" fontId="5" fillId="21" borderId="28" xfId="1" applyNumberFormat="1" applyFont="1" applyFill="1" applyBorder="1" applyAlignment="1">
      <alignment horizontal="right"/>
    </xf>
    <xf numFmtId="0" fontId="4" fillId="10" borderId="29" xfId="1" applyFill="1" applyBorder="1" applyAlignment="1">
      <alignment horizontal="center"/>
    </xf>
    <xf numFmtId="0" fontId="4" fillId="15" borderId="29" xfId="1" applyFill="1" applyBorder="1" applyAlignment="1">
      <alignment horizontal="center"/>
    </xf>
    <xf numFmtId="0" fontId="4" fillId="2" borderId="3" xfId="1" applyFill="1" applyBorder="1" applyAlignment="1">
      <alignment horizontal="center"/>
    </xf>
    <xf numFmtId="190" fontId="5" fillId="13" borderId="0" xfId="1" applyNumberFormat="1" applyFont="1" applyFill="1" applyAlignment="1">
      <alignment horizontal="right"/>
    </xf>
    <xf numFmtId="190" fontId="4" fillId="14" borderId="0" xfId="1" applyNumberFormat="1" applyFill="1"/>
    <xf numFmtId="0" fontId="5" fillId="0" borderId="10" xfId="1" applyFont="1" applyBorder="1"/>
    <xf numFmtId="191" fontId="5" fillId="0" borderId="10" xfId="1" applyNumberFormat="1" applyFont="1" applyBorder="1"/>
    <xf numFmtId="190" fontId="19" fillId="23" borderId="10" xfId="1" applyNumberFormat="1" applyFont="1" applyFill="1" applyBorder="1"/>
    <xf numFmtId="190" fontId="19" fillId="24" borderId="10" xfId="1" applyNumberFormat="1" applyFont="1" applyFill="1" applyBorder="1"/>
    <xf numFmtId="190" fontId="20" fillId="21" borderId="10" xfId="1" applyNumberFormat="1" applyFont="1" applyFill="1" applyBorder="1"/>
    <xf numFmtId="190" fontId="5" fillId="21" borderId="21" xfId="1" applyNumberFormat="1" applyFont="1" applyFill="1" applyBorder="1" applyAlignment="1">
      <alignment horizontal="right"/>
    </xf>
    <xf numFmtId="190" fontId="4" fillId="0" borderId="0" xfId="1" applyNumberFormat="1"/>
    <xf numFmtId="9" fontId="5" fillId="13" borderId="0" xfId="2" applyFont="1" applyFill="1" applyBorder="1" applyAlignment="1">
      <alignment horizontal="right"/>
    </xf>
    <xf numFmtId="190" fontId="11" fillId="13" borderId="0" xfId="1" applyNumberFormat="1" applyFont="1" applyFill="1" applyAlignment="1">
      <alignment horizontal="center"/>
    </xf>
    <xf numFmtId="2" fontId="4" fillId="0" borderId="0" xfId="1" applyNumberFormat="1"/>
    <xf numFmtId="190" fontId="21" fillId="13" borderId="0" xfId="1" applyNumberFormat="1" applyFont="1" applyFill="1"/>
    <xf numFmtId="190" fontId="22" fillId="13" borderId="0" xfId="1" applyNumberFormat="1" applyFont="1" applyFill="1" applyAlignment="1">
      <alignment horizontal="right"/>
    </xf>
    <xf numFmtId="0" fontId="5" fillId="2" borderId="30" xfId="1" applyFont="1" applyFill="1" applyBorder="1" applyAlignment="1">
      <alignment horizontal="center"/>
    </xf>
    <xf numFmtId="0" fontId="4" fillId="3" borderId="31" xfId="1" applyFill="1" applyBorder="1" applyAlignment="1">
      <alignment horizontal="center"/>
    </xf>
    <xf numFmtId="0" fontId="4" fillId="3" borderId="32" xfId="1" applyFill="1" applyBorder="1" applyAlignment="1">
      <alignment horizontal="center"/>
    </xf>
    <xf numFmtId="190" fontId="7" fillId="2" borderId="34" xfId="1" applyNumberFormat="1" applyFont="1" applyFill="1" applyBorder="1"/>
    <xf numFmtId="190" fontId="7" fillId="2" borderId="35" xfId="1" applyNumberFormat="1" applyFont="1" applyFill="1" applyBorder="1"/>
    <xf numFmtId="190" fontId="7" fillId="2" borderId="36" xfId="1" applyNumberFormat="1" applyFont="1" applyFill="1" applyBorder="1"/>
    <xf numFmtId="190" fontId="7" fillId="2" borderId="37" xfId="1" applyNumberFormat="1" applyFont="1" applyFill="1" applyBorder="1"/>
    <xf numFmtId="190" fontId="7" fillId="2" borderId="38" xfId="1" applyNumberFormat="1" applyFont="1" applyFill="1" applyBorder="1"/>
    <xf numFmtId="190" fontId="7" fillId="5" borderId="39" xfId="1" applyNumberFormat="1" applyFont="1" applyFill="1" applyBorder="1"/>
    <xf numFmtId="190" fontId="7" fillId="2" borderId="40" xfId="1" applyNumberFormat="1" applyFont="1" applyFill="1" applyBorder="1"/>
    <xf numFmtId="190" fontId="12" fillId="2" borderId="35" xfId="1" applyNumberFormat="1" applyFont="1" applyFill="1" applyBorder="1"/>
    <xf numFmtId="190" fontId="19" fillId="22" borderId="39" xfId="1" applyNumberFormat="1" applyFont="1" applyFill="1" applyBorder="1" applyAlignment="1">
      <alignment horizontal="right"/>
    </xf>
    <xf numFmtId="190" fontId="9" fillId="13" borderId="39" xfId="1" applyNumberFormat="1" applyFont="1" applyFill="1" applyBorder="1" applyAlignment="1">
      <alignment horizontal="right"/>
    </xf>
    <xf numFmtId="190" fontId="3" fillId="11" borderId="39" xfId="1" applyNumberFormat="1" applyFont="1" applyFill="1" applyBorder="1"/>
    <xf numFmtId="0" fontId="4" fillId="0" borderId="39" xfId="1" applyBorder="1"/>
    <xf numFmtId="2" fontId="10" fillId="0" borderId="39" xfId="1" applyNumberFormat="1" applyFont="1" applyBorder="1"/>
    <xf numFmtId="0" fontId="5" fillId="5" borderId="2" xfId="1" applyFont="1" applyFill="1" applyBorder="1"/>
    <xf numFmtId="191" fontId="5" fillId="5" borderId="21" xfId="1" applyNumberFormat="1" applyFont="1" applyFill="1" applyBorder="1"/>
    <xf numFmtId="190" fontId="4" fillId="5" borderId="0" xfId="1" applyNumberFormat="1" applyFill="1"/>
    <xf numFmtId="0" fontId="4" fillId="5" borderId="0" xfId="1" applyFill="1"/>
    <xf numFmtId="0" fontId="5" fillId="5" borderId="10" xfId="1" applyFont="1" applyFill="1" applyBorder="1"/>
    <xf numFmtId="191" fontId="5" fillId="5" borderId="10" xfId="1" applyNumberFormat="1" applyFont="1" applyFill="1" applyBorder="1"/>
    <xf numFmtId="2" fontId="10" fillId="5" borderId="0" xfId="1" applyNumberFormat="1" applyFont="1" applyFill="1"/>
    <xf numFmtId="190" fontId="6" fillId="3" borderId="9" xfId="1" applyNumberFormat="1" applyFont="1" applyFill="1" applyBorder="1" applyAlignment="1">
      <alignment vertical="center"/>
    </xf>
    <xf numFmtId="0" fontId="9" fillId="25" borderId="41" xfId="1" applyFont="1" applyFill="1" applyBorder="1" applyAlignment="1">
      <alignment horizontal="center" vertical="center"/>
    </xf>
    <xf numFmtId="190" fontId="12" fillId="25" borderId="26" xfId="1" applyNumberFormat="1" applyFont="1" applyFill="1" applyBorder="1" applyAlignment="1">
      <alignment horizontal="right"/>
    </xf>
    <xf numFmtId="190" fontId="7" fillId="25" borderId="38" xfId="1" applyNumberFormat="1" applyFont="1" applyFill="1" applyBorder="1"/>
    <xf numFmtId="0" fontId="0" fillId="5" borderId="0" xfId="0" applyFill="1"/>
    <xf numFmtId="0" fontId="4" fillId="0" borderId="0" xfId="1" applyAlignment="1">
      <alignment horizontal="center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18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/>
    </xf>
    <xf numFmtId="0" fontId="11" fillId="13" borderId="4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/>
    </xf>
    <xf numFmtId="0" fontId="0" fillId="0" borderId="4" xfId="1" applyFont="1" applyBorder="1"/>
    <xf numFmtId="0" fontId="0" fillId="0" borderId="4" xfId="1" applyFont="1" applyBorder="1" applyAlignment="1">
      <alignment horizontal="center"/>
    </xf>
    <xf numFmtId="0" fontId="3" fillId="0" borderId="3" xfId="1" applyFont="1" applyBorder="1" applyAlignment="1">
      <alignment horizontal="left" vertical="center"/>
    </xf>
    <xf numFmtId="0" fontId="3" fillId="18" borderId="4" xfId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192" fontId="1" fillId="18" borderId="4" xfId="1" applyNumberFormat="1" applyFont="1" applyFill="1" applyBorder="1" applyAlignment="1">
      <alignment horizontal="center" vertical="center" wrapText="1"/>
    </xf>
    <xf numFmtId="189" fontId="0" fillId="26" borderId="4" xfId="3" applyNumberFormat="1" applyFont="1" applyFill="1" applyBorder="1" applyAlignment="1">
      <alignment horizontal="right" vertical="center" indent="1"/>
    </xf>
    <xf numFmtId="0" fontId="4" fillId="0" borderId="4" xfId="1" applyBorder="1" applyAlignment="1">
      <alignment horizontal="center"/>
    </xf>
    <xf numFmtId="194" fontId="24" fillId="0" borderId="4" xfId="1" applyNumberFormat="1" applyFont="1" applyBorder="1" applyAlignment="1">
      <alignment horizontal="center"/>
    </xf>
    <xf numFmtId="0" fontId="0" fillId="0" borderId="0" xfId="1" applyFont="1"/>
    <xf numFmtId="195" fontId="23" fillId="11" borderId="4" xfId="1" applyNumberFormat="1" applyFont="1" applyFill="1" applyBorder="1" applyAlignment="1">
      <alignment horizontal="left" vertical="center"/>
    </xf>
    <xf numFmtId="195" fontId="23" fillId="10" borderId="4" xfId="1" applyNumberFormat="1" applyFont="1" applyFill="1" applyBorder="1" applyAlignment="1">
      <alignment horizontal="left" vertical="center"/>
    </xf>
    <xf numFmtId="0" fontId="11" fillId="5" borderId="4" xfId="1" applyFont="1" applyFill="1" applyBorder="1" applyAlignment="1">
      <alignment horizontal="left" vertical="center"/>
    </xf>
    <xf numFmtId="0" fontId="23" fillId="13" borderId="4" xfId="1" applyFont="1" applyFill="1" applyBorder="1" applyAlignment="1">
      <alignment horizontal="center" vertical="center"/>
    </xf>
    <xf numFmtId="194" fontId="25" fillId="5" borderId="0" xfId="1" applyNumberFormat="1" applyFont="1" applyFill="1" applyAlignment="1">
      <alignment horizontal="left"/>
    </xf>
    <xf numFmtId="0" fontId="4" fillId="5" borderId="0" xfId="1" applyFill="1" applyAlignment="1">
      <alignment horizontal="left"/>
    </xf>
    <xf numFmtId="0" fontId="0" fillId="5" borderId="0" xfId="1" applyFont="1" applyFill="1" applyAlignment="1">
      <alignment horizontal="left"/>
    </xf>
    <xf numFmtId="0" fontId="4" fillId="0" borderId="0" xfId="1" applyAlignment="1">
      <alignment horizontal="left"/>
    </xf>
    <xf numFmtId="195" fontId="23" fillId="11" borderId="5" xfId="1" applyNumberFormat="1" applyFont="1" applyFill="1" applyBorder="1" applyAlignment="1">
      <alignment horizontal="left" vertical="center"/>
    </xf>
    <xf numFmtId="195" fontId="23" fillId="5" borderId="4" xfId="1" applyNumberFormat="1" applyFont="1" applyFill="1" applyBorder="1" applyAlignment="1">
      <alignment horizontal="left" vertical="center"/>
    </xf>
    <xf numFmtId="195" fontId="23" fillId="5" borderId="4" xfId="1" applyNumberFormat="1" applyFont="1" applyFill="1" applyBorder="1" applyAlignment="1">
      <alignment horizontal="left"/>
    </xf>
    <xf numFmtId="192" fontId="1" fillId="18" borderId="4" xfId="1" applyNumberFormat="1" applyFont="1" applyFill="1" applyBorder="1" applyAlignment="1">
      <alignment horizontal="left" vertical="center" wrapText="1"/>
    </xf>
    <xf numFmtId="0" fontId="23" fillId="27" borderId="0" xfId="1" applyFont="1" applyFill="1" applyAlignment="1">
      <alignment horizontal="center" vertical="center"/>
    </xf>
    <xf numFmtId="0" fontId="3" fillId="28" borderId="0" xfId="1" applyFont="1" applyFill="1" applyAlignment="1">
      <alignment horizontal="left"/>
    </xf>
    <xf numFmtId="194" fontId="3" fillId="29" borderId="0" xfId="1" applyNumberFormat="1" applyFont="1" applyFill="1" applyAlignment="1">
      <alignment horizontal="center"/>
    </xf>
    <xf numFmtId="0" fontId="0" fillId="0" borderId="0" xfId="1" applyFont="1" applyAlignment="1">
      <alignment horizontal="left"/>
    </xf>
    <xf numFmtId="0" fontId="3" fillId="5" borderId="3" xfId="1" applyFont="1" applyFill="1" applyBorder="1" applyAlignment="1">
      <alignment vertical="center"/>
    </xf>
    <xf numFmtId="193" fontId="23" fillId="14" borderId="4" xfId="3" applyFont="1" applyFill="1" applyBorder="1" applyAlignment="1">
      <alignment horizontal="center" vertical="center"/>
    </xf>
    <xf numFmtId="195" fontId="23" fillId="10" borderId="4" xfId="1" applyNumberFormat="1" applyFont="1" applyFill="1" applyBorder="1"/>
    <xf numFmtId="193" fontId="23" fillId="11" borderId="45" xfId="3" applyFont="1" applyFill="1" applyBorder="1" applyAlignment="1">
      <alignment horizontal="center" vertical="center"/>
    </xf>
    <xf numFmtId="0" fontId="4" fillId="0" borderId="4" xfId="1" applyBorder="1"/>
    <xf numFmtId="192" fontId="1" fillId="18" borderId="45" xfId="1" applyNumberFormat="1" applyFont="1" applyFill="1" applyBorder="1" applyAlignment="1">
      <alignment horizontal="center" vertical="center" wrapText="1"/>
    </xf>
    <xf numFmtId="0" fontId="23" fillId="5" borderId="45" xfId="1" applyFont="1" applyFill="1" applyBorder="1" applyAlignment="1">
      <alignment horizontal="center" vertical="center"/>
    </xf>
    <xf numFmtId="194" fontId="24" fillId="0" borderId="44" xfId="1" applyNumberFormat="1" applyFont="1" applyBorder="1" applyAlignment="1">
      <alignment horizontal="center"/>
    </xf>
    <xf numFmtId="194" fontId="4" fillId="5" borderId="0" xfId="1" applyNumberFormat="1" applyFill="1" applyAlignment="1">
      <alignment horizontal="center"/>
    </xf>
    <xf numFmtId="0" fontId="0" fillId="5" borderId="0" xfId="1" applyFont="1" applyFill="1"/>
    <xf numFmtId="195" fontId="23" fillId="11" borderId="5" xfId="1" applyNumberFormat="1" applyFont="1" applyFill="1" applyBorder="1"/>
    <xf numFmtId="0" fontId="4" fillId="5" borderId="4" xfId="1" applyFill="1" applyBorder="1" applyAlignment="1">
      <alignment horizontal="center"/>
    </xf>
    <xf numFmtId="0" fontId="3" fillId="5" borderId="3" xfId="1" applyFont="1" applyFill="1" applyBorder="1"/>
    <xf numFmtId="0" fontId="23" fillId="0" borderId="4" xfId="1" applyFont="1" applyBorder="1"/>
    <xf numFmtId="195" fontId="23" fillId="10" borderId="44" xfId="1" applyNumberFormat="1" applyFont="1" applyFill="1" applyBorder="1" applyAlignment="1">
      <alignment horizontal="left" vertical="center"/>
    </xf>
    <xf numFmtId="193" fontId="23" fillId="10" borderId="4" xfId="3" applyFont="1" applyFill="1" applyBorder="1"/>
    <xf numFmtId="0" fontId="23" fillId="5" borderId="3" xfId="1" applyFont="1" applyFill="1" applyBorder="1"/>
    <xf numFmtId="194" fontId="27" fillId="5" borderId="0" xfId="1" applyNumberFormat="1" applyFont="1" applyFill="1" applyAlignment="1">
      <alignment horizontal="center"/>
    </xf>
    <xf numFmtId="0" fontId="27" fillId="5" borderId="0" xfId="1" applyFont="1" applyFill="1" applyAlignment="1">
      <alignment horizontal="center"/>
    </xf>
    <xf numFmtId="0" fontId="28" fillId="5" borderId="0" xfId="1" applyFont="1" applyFill="1"/>
    <xf numFmtId="0" fontId="23" fillId="0" borderId="0" xfId="1" applyFont="1"/>
    <xf numFmtId="0" fontId="4" fillId="18" borderId="0" xfId="1" applyFill="1"/>
    <xf numFmtId="0" fontId="23" fillId="5" borderId="4" xfId="1" applyFont="1" applyFill="1" applyBorder="1" applyAlignment="1">
      <alignment horizontal="center" vertical="center"/>
    </xf>
    <xf numFmtId="192" fontId="1" fillId="18" borderId="5" xfId="1" applyNumberFormat="1" applyFont="1" applyFill="1" applyBorder="1" applyAlignment="1">
      <alignment horizontal="center" vertical="center" wrapText="1"/>
    </xf>
    <xf numFmtId="0" fontId="26" fillId="5" borderId="43" xfId="1" applyFont="1" applyFill="1" applyBorder="1"/>
    <xf numFmtId="0" fontId="3" fillId="5" borderId="0" xfId="1" applyFont="1" applyFill="1"/>
    <xf numFmtId="0" fontId="26" fillId="5" borderId="0" xfId="1" applyFont="1" applyFill="1"/>
    <xf numFmtId="194" fontId="4" fillId="5" borderId="0" xfId="1" applyNumberFormat="1" applyFill="1"/>
    <xf numFmtId="0" fontId="3" fillId="5" borderId="43" xfId="1" applyFont="1" applyFill="1" applyBorder="1" applyAlignment="1">
      <alignment vertical="center"/>
    </xf>
    <xf numFmtId="0" fontId="3" fillId="18" borderId="44" xfId="1" applyFont="1" applyFill="1" applyBorder="1" applyAlignment="1">
      <alignment horizontal="center"/>
    </xf>
    <xf numFmtId="0" fontId="0" fillId="0" borderId="44" xfId="0" applyBorder="1"/>
    <xf numFmtId="0" fontId="0" fillId="0" borderId="4" xfId="0" applyBorder="1"/>
    <xf numFmtId="193" fontId="23" fillId="5" borderId="4" xfId="3" applyFont="1" applyFill="1" applyBorder="1" applyAlignment="1">
      <alignment vertical="center"/>
    </xf>
    <xf numFmtId="0" fontId="0" fillId="5" borderId="44" xfId="0" applyFill="1" applyBorder="1"/>
    <xf numFmtId="0" fontId="0" fillId="0" borderId="4" xfId="0" applyBorder="1" applyAlignment="1">
      <alignment horizontal="center"/>
    </xf>
    <xf numFmtId="0" fontId="3" fillId="0" borderId="13" xfId="1" applyFont="1" applyBorder="1" applyAlignment="1">
      <alignment vertical="center"/>
    </xf>
    <xf numFmtId="0" fontId="3" fillId="18" borderId="46" xfId="1" applyFont="1" applyFill="1" applyBorder="1" applyAlignment="1">
      <alignment horizontal="center" vertical="center"/>
    </xf>
    <xf numFmtId="0" fontId="23" fillId="5" borderId="46" xfId="1" applyFont="1" applyFill="1" applyBorder="1" applyAlignment="1">
      <alignment horizontal="center" vertical="center"/>
    </xf>
    <xf numFmtId="0" fontId="23" fillId="5" borderId="47" xfId="1" applyFont="1" applyFill="1" applyBorder="1" applyAlignment="1">
      <alignment horizontal="center" vertical="center"/>
    </xf>
    <xf numFmtId="0" fontId="23" fillId="10" borderId="46" xfId="1" applyFont="1" applyFill="1" applyBorder="1" applyAlignment="1">
      <alignment horizontal="center" vertical="center"/>
    </xf>
    <xf numFmtId="192" fontId="1" fillId="18" borderId="46" xfId="1" applyNumberFormat="1" applyFont="1" applyFill="1" applyBorder="1" applyAlignment="1">
      <alignment horizontal="center" vertical="center" wrapText="1"/>
    </xf>
    <xf numFmtId="189" fontId="0" fillId="26" borderId="46" xfId="3" applyNumberFormat="1" applyFont="1" applyFill="1" applyBorder="1" applyAlignment="1">
      <alignment horizontal="right" vertical="center" indent="1"/>
    </xf>
    <xf numFmtId="0" fontId="4" fillId="0" borderId="46" xfId="1" applyBorder="1"/>
    <xf numFmtId="194" fontId="24" fillId="0" borderId="46" xfId="1" applyNumberFormat="1" applyFont="1" applyBorder="1" applyAlignment="1">
      <alignment horizontal="center"/>
    </xf>
    <xf numFmtId="0" fontId="3" fillId="5" borderId="48" xfId="1" applyFont="1" applyFill="1" applyBorder="1" applyAlignment="1">
      <alignment vertical="center"/>
    </xf>
    <xf numFmtId="0" fontId="3" fillId="18" borderId="49" xfId="1" applyFont="1" applyFill="1" applyBorder="1" applyAlignment="1">
      <alignment horizontal="center" vertical="center"/>
    </xf>
    <xf numFmtId="193" fontId="23" fillId="5" borderId="49" xfId="3" applyFont="1" applyFill="1" applyBorder="1" applyAlignment="1">
      <alignment vertical="center"/>
    </xf>
    <xf numFmtId="196" fontId="23" fillId="23" borderId="49" xfId="2" applyNumberFormat="1" applyFont="1" applyFill="1" applyBorder="1" applyAlignment="1">
      <alignment vertical="center"/>
    </xf>
    <xf numFmtId="196" fontId="23" fillId="5" borderId="4" xfId="2" applyNumberFormat="1" applyFont="1" applyFill="1" applyBorder="1" applyAlignment="1">
      <alignment vertical="center"/>
    </xf>
    <xf numFmtId="192" fontId="1" fillId="18" borderId="4" xfId="3" applyNumberFormat="1" applyFont="1" applyFill="1" applyBorder="1" applyAlignment="1">
      <alignment horizontal="center"/>
    </xf>
    <xf numFmtId="189" fontId="0" fillId="26" borderId="49" xfId="3" applyNumberFormat="1" applyFont="1" applyFill="1" applyBorder="1" applyAlignment="1">
      <alignment horizontal="right" vertical="center" indent="1"/>
    </xf>
    <xf numFmtId="0" fontId="23" fillId="13" borderId="49" xfId="1" applyFont="1" applyFill="1" applyBorder="1" applyAlignment="1">
      <alignment horizontal="center" vertical="center"/>
    </xf>
    <xf numFmtId="0" fontId="4" fillId="0" borderId="49" xfId="1" applyBorder="1" applyAlignment="1">
      <alignment horizontal="center"/>
    </xf>
    <xf numFmtId="194" fontId="24" fillId="0" borderId="49" xfId="1" applyNumberFormat="1" applyFont="1" applyBorder="1" applyAlignment="1">
      <alignment horizontal="center"/>
    </xf>
    <xf numFmtId="196" fontId="23" fillId="23" borderId="4" xfId="2" applyNumberFormat="1" applyFont="1" applyFill="1" applyBorder="1" applyAlignment="1">
      <alignment vertical="center"/>
    </xf>
    <xf numFmtId="192" fontId="1" fillId="18" borderId="49" xfId="3" applyNumberFormat="1" applyFont="1" applyFill="1" applyBorder="1" applyAlignment="1">
      <alignment horizontal="center"/>
    </xf>
    <xf numFmtId="0" fontId="23" fillId="0" borderId="49" xfId="1" applyFont="1" applyBorder="1" applyAlignment="1">
      <alignment horizontal="center" vertical="center"/>
    </xf>
    <xf numFmtId="193" fontId="23" fillId="5" borderId="4" xfId="3" applyFont="1" applyFill="1" applyBorder="1" applyAlignment="1">
      <alignment horizontal="center" vertical="center"/>
    </xf>
    <xf numFmtId="0" fontId="28" fillId="5" borderId="0" xfId="1" applyFont="1" applyFill="1" applyAlignment="1">
      <alignment horizontal="left"/>
    </xf>
    <xf numFmtId="0" fontId="11" fillId="5" borderId="4" xfId="1" applyFont="1" applyFill="1" applyBorder="1"/>
    <xf numFmtId="0" fontId="3" fillId="5" borderId="4" xfId="1" applyFont="1" applyFill="1" applyBorder="1"/>
    <xf numFmtId="0" fontId="29" fillId="5" borderId="0" xfId="1" applyFont="1" applyFill="1" applyAlignment="1">
      <alignment horizontal="center"/>
    </xf>
    <xf numFmtId="192" fontId="1" fillId="18" borderId="49" xfId="3" applyNumberFormat="1" applyFont="1" applyFill="1" applyBorder="1" applyAlignment="1">
      <alignment horizontal="center" vertical="center"/>
    </xf>
    <xf numFmtId="0" fontId="0" fillId="11" borderId="43" xfId="1" applyFont="1" applyFill="1" applyBorder="1"/>
    <xf numFmtId="0" fontId="0" fillId="11" borderId="0" xfId="1" applyFont="1" applyFill="1"/>
    <xf numFmtId="0" fontId="4" fillId="11" borderId="0" xfId="1" applyFill="1"/>
    <xf numFmtId="0" fontId="3" fillId="5" borderId="12" xfId="1" applyFont="1" applyFill="1" applyBorder="1"/>
    <xf numFmtId="0" fontId="30" fillId="5" borderId="4" xfId="1" applyFont="1" applyFill="1" applyBorder="1"/>
    <xf numFmtId="0" fontId="3" fillId="5" borderId="45" xfId="1" applyFont="1" applyFill="1" applyBorder="1"/>
    <xf numFmtId="0" fontId="11" fillId="5" borderId="45" xfId="1" applyFont="1" applyFill="1" applyBorder="1"/>
    <xf numFmtId="192" fontId="1" fillId="18" borderId="45" xfId="3" applyNumberFormat="1" applyFont="1" applyFill="1" applyBorder="1" applyAlignment="1">
      <alignment horizontal="center"/>
    </xf>
    <xf numFmtId="0" fontId="23" fillId="0" borderId="45" xfId="1" applyFont="1" applyBorder="1" applyAlignment="1">
      <alignment horizontal="center" vertical="center"/>
    </xf>
    <xf numFmtId="0" fontId="4" fillId="0" borderId="44" xfId="1" applyBorder="1" applyAlignment="1">
      <alignment horizontal="center"/>
    </xf>
    <xf numFmtId="0" fontId="4" fillId="5" borderId="49" xfId="1" applyFill="1" applyBorder="1"/>
    <xf numFmtId="195" fontId="4" fillId="30" borderId="49" xfId="1" applyNumberFormat="1" applyFill="1" applyBorder="1"/>
    <xf numFmtId="189" fontId="31" fillId="31" borderId="49" xfId="3" applyNumberFormat="1" applyFont="1" applyFill="1" applyBorder="1" applyAlignment="1">
      <alignment horizontal="right" vertical="center" indent="1"/>
    </xf>
    <xf numFmtId="0" fontId="4" fillId="30" borderId="49" xfId="1" applyFill="1" applyBorder="1" applyAlignment="1">
      <alignment horizontal="center"/>
    </xf>
    <xf numFmtId="194" fontId="24" fillId="32" borderId="49" xfId="1" applyNumberFormat="1" applyFont="1" applyFill="1" applyBorder="1" applyAlignment="1">
      <alignment horizontal="center"/>
    </xf>
    <xf numFmtId="0" fontId="4" fillId="0" borderId="3" xfId="1" applyBorder="1"/>
    <xf numFmtId="197" fontId="23" fillId="30" borderId="3" xfId="1" applyNumberFormat="1" applyFont="1" applyFill="1" applyBorder="1"/>
    <xf numFmtId="197" fontId="23" fillId="30" borderId="4" xfId="1" applyNumberFormat="1" applyFont="1" applyFill="1" applyBorder="1"/>
    <xf numFmtId="189" fontId="4" fillId="5" borderId="5" xfId="1" applyNumberFormat="1" applyFill="1" applyBorder="1"/>
    <xf numFmtId="0" fontId="3" fillId="4" borderId="4" xfId="1" applyFont="1" applyFill="1" applyBorder="1"/>
    <xf numFmtId="0" fontId="4" fillId="4" borderId="4" xfId="1" applyFill="1" applyBorder="1"/>
    <xf numFmtId="196" fontId="4" fillId="4" borderId="4" xfId="1" applyNumberFormat="1" applyFill="1" applyBorder="1"/>
    <xf numFmtId="0" fontId="3" fillId="13" borderId="4" xfId="1" applyFont="1" applyFill="1" applyBorder="1"/>
    <xf numFmtId="0" fontId="4" fillId="13" borderId="4" xfId="1" applyFill="1" applyBorder="1"/>
    <xf numFmtId="195" fontId="4" fillId="13" borderId="4" xfId="1" applyNumberFormat="1" applyFill="1" applyBorder="1"/>
    <xf numFmtId="0" fontId="3" fillId="0" borderId="0" xfId="1" applyFont="1"/>
    <xf numFmtId="0" fontId="4" fillId="33" borderId="0" xfId="1" applyFill="1"/>
    <xf numFmtId="195" fontId="4" fillId="33" borderId="0" xfId="1" applyNumberFormat="1" applyFill="1"/>
    <xf numFmtId="0" fontId="29" fillId="34" borderId="0" xfId="1" applyFont="1" applyFill="1"/>
    <xf numFmtId="195" fontId="29" fillId="34" borderId="0" xfId="1" applyNumberFormat="1" applyFont="1" applyFill="1"/>
    <xf numFmtId="14" fontId="0" fillId="0" borderId="0" xfId="0" applyNumberFormat="1"/>
    <xf numFmtId="0" fontId="0" fillId="11" borderId="4" xfId="0" applyFill="1" applyBorder="1"/>
    <xf numFmtId="0" fontId="11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91" fontId="11" fillId="0" borderId="28" xfId="1" applyNumberFormat="1" applyFont="1" applyBorder="1" applyAlignment="1">
      <alignment horizontal="center" vertical="center"/>
    </xf>
    <xf numFmtId="190" fontId="15" fillId="0" borderId="17" xfId="1" applyNumberFormat="1" applyFont="1" applyBorder="1"/>
    <xf numFmtId="190" fontId="15" fillId="5" borderId="17" xfId="1" applyNumberFormat="1" applyFont="1" applyFill="1" applyBorder="1"/>
    <xf numFmtId="0" fontId="5" fillId="0" borderId="4" xfId="0" applyFont="1" applyBorder="1" applyAlignment="1">
      <alignment horizontal="center" vertical="center"/>
    </xf>
    <xf numFmtId="16" fontId="0" fillId="0" borderId="0" xfId="0" applyNumberFormat="1" applyAlignment="1">
      <alignment horizontal="left"/>
    </xf>
    <xf numFmtId="193" fontId="0" fillId="0" borderId="0" xfId="3" applyFont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193" fontId="0" fillId="0" borderId="0" xfId="3" applyFont="1"/>
    <xf numFmtId="0" fontId="29" fillId="5" borderId="0" xfId="0" applyFont="1" applyFill="1" applyAlignment="1">
      <alignment horizontal="center"/>
    </xf>
    <xf numFmtId="0" fontId="1" fillId="5" borderId="31" xfId="4" applyFill="1" applyBorder="1"/>
    <xf numFmtId="0" fontId="32" fillId="5" borderId="33" xfId="4" applyFont="1" applyFill="1" applyBorder="1" applyAlignment="1">
      <alignment horizontal="center"/>
    </xf>
    <xf numFmtId="0" fontId="32" fillId="5" borderId="54" xfId="4" applyFont="1" applyFill="1" applyBorder="1" applyAlignment="1">
      <alignment horizontal="center"/>
    </xf>
    <xf numFmtId="0" fontId="14" fillId="0" borderId="55" xfId="1" applyFont="1" applyBorder="1" applyAlignment="1">
      <alignment horizontal="left" vertical="center"/>
    </xf>
    <xf numFmtId="0" fontId="1" fillId="5" borderId="0" xfId="4" applyFill="1" applyAlignment="1">
      <alignment horizontal="center"/>
    </xf>
    <xf numFmtId="0" fontId="3" fillId="5" borderId="0" xfId="1" applyFont="1" applyFill="1" applyAlignment="1">
      <alignment horizontal="center" vertical="center" wrapText="1"/>
    </xf>
    <xf numFmtId="0" fontId="3" fillId="5" borderId="56" xfId="1" applyFont="1" applyFill="1" applyBorder="1" applyAlignment="1">
      <alignment horizontal="center" vertical="center" wrapText="1"/>
    </xf>
    <xf numFmtId="0" fontId="3" fillId="0" borderId="55" xfId="1" applyFont="1" applyBorder="1" applyAlignment="1">
      <alignment horizontal="left" vertical="center"/>
    </xf>
    <xf numFmtId="0" fontId="25" fillId="0" borderId="0" xfId="0" applyFont="1"/>
    <xf numFmtId="0" fontId="3" fillId="5" borderId="55" xfId="1" applyFont="1" applyFill="1" applyBorder="1"/>
    <xf numFmtId="0" fontId="25" fillId="0" borderId="57" xfId="0" applyFont="1" applyBorder="1"/>
    <xf numFmtId="0" fontId="0" fillId="0" borderId="58" xfId="0" applyBorder="1"/>
    <xf numFmtId="0" fontId="3" fillId="5" borderId="55" xfId="1" applyFont="1" applyFill="1" applyBorder="1" applyAlignment="1">
      <alignment vertical="center"/>
    </xf>
    <xf numFmtId="0" fontId="25" fillId="0" borderId="55" xfId="0" applyFont="1" applyBorder="1"/>
    <xf numFmtId="193" fontId="25" fillId="0" borderId="0" xfId="3" applyFont="1" applyBorder="1"/>
    <xf numFmtId="0" fontId="0" fillId="0" borderId="56" xfId="0" applyBorder="1" applyAlignment="1">
      <alignment horizontal="center"/>
    </xf>
    <xf numFmtId="14" fontId="0" fillId="0" borderId="56" xfId="0" applyNumberFormat="1" applyBorder="1"/>
    <xf numFmtId="0" fontId="0" fillId="0" borderId="55" xfId="0" applyBorder="1"/>
    <xf numFmtId="0" fontId="0" fillId="0" borderId="56" xfId="0" applyBorder="1"/>
    <xf numFmtId="0" fontId="0" fillId="5" borderId="56" xfId="0" applyFill="1" applyBorder="1"/>
    <xf numFmtId="0" fontId="3" fillId="0" borderId="0" xfId="0" applyFont="1"/>
    <xf numFmtId="193" fontId="3" fillId="0" borderId="0" xfId="3" applyFont="1" applyBorder="1"/>
    <xf numFmtId="0" fontId="33" fillId="0" borderId="0" xfId="0" applyFont="1"/>
    <xf numFmtId="0" fontId="0" fillId="0" borderId="0" xfId="0" applyAlignment="1">
      <alignment horizontal="center"/>
    </xf>
    <xf numFmtId="193" fontId="0" fillId="35" borderId="0" xfId="3" applyFont="1" applyFill="1" applyBorder="1"/>
    <xf numFmtId="193" fontId="0" fillId="21" borderId="0" xfId="3" applyFont="1" applyFill="1" applyBorder="1"/>
    <xf numFmtId="0" fontId="3" fillId="0" borderId="55" xfId="0" applyFont="1" applyBorder="1"/>
    <xf numFmtId="0" fontId="3" fillId="15" borderId="55" xfId="0" applyFont="1" applyFill="1" applyBorder="1"/>
    <xf numFmtId="0" fontId="0" fillId="15" borderId="0" xfId="0" applyFill="1"/>
    <xf numFmtId="193" fontId="3" fillId="15" borderId="0" xfId="3" applyFont="1" applyFill="1" applyBorder="1"/>
    <xf numFmtId="0" fontId="0" fillId="15" borderId="56" xfId="0" applyFill="1" applyBorder="1"/>
    <xf numFmtId="193" fontId="0" fillId="0" borderId="0" xfId="3" applyFont="1" applyBorder="1"/>
    <xf numFmtId="0" fontId="3" fillId="5" borderId="59" xfId="4" applyFont="1" applyFill="1" applyBorder="1"/>
    <xf numFmtId="193" fontId="1" fillId="5" borderId="15" xfId="3" applyFont="1" applyFill="1" applyBorder="1" applyAlignment="1">
      <alignment horizontal="center"/>
    </xf>
    <xf numFmtId="0" fontId="1" fillId="5" borderId="15" xfId="4" applyFill="1" applyBorder="1"/>
    <xf numFmtId="0" fontId="1" fillId="5" borderId="60" xfId="4" applyFill="1" applyBorder="1"/>
    <xf numFmtId="0" fontId="0" fillId="0" borderId="61" xfId="0" applyBorder="1"/>
    <xf numFmtId="0" fontId="0" fillId="0" borderId="62" xfId="0" applyBorder="1"/>
    <xf numFmtId="0" fontId="3" fillId="5" borderId="55" xfId="4" applyFont="1" applyFill="1" applyBorder="1"/>
    <xf numFmtId="0" fontId="1" fillId="5" borderId="0" xfId="4" applyFill="1"/>
    <xf numFmtId="0" fontId="1" fillId="5" borderId="56" xfId="4" applyFill="1" applyBorder="1"/>
    <xf numFmtId="0" fontId="3" fillId="0" borderId="0" xfId="0" applyFont="1" applyAlignment="1">
      <alignment horizontal="left"/>
    </xf>
    <xf numFmtId="193" fontId="34" fillId="35" borderId="0" xfId="0" applyNumberFormat="1" applyFont="1" applyFill="1" applyAlignment="1">
      <alignment horizontal="center"/>
    </xf>
    <xf numFmtId="0" fontId="3" fillId="5" borderId="61" xfId="4" applyFont="1" applyFill="1" applyBorder="1"/>
    <xf numFmtId="193" fontId="0" fillId="21" borderId="62" xfId="3" applyFont="1" applyFill="1" applyBorder="1"/>
    <xf numFmtId="193" fontId="3" fillId="5" borderId="62" xfId="3" applyFont="1" applyFill="1" applyBorder="1" applyAlignment="1">
      <alignment horizontal="left"/>
    </xf>
    <xf numFmtId="193" fontId="3" fillId="5" borderId="63" xfId="3" applyFont="1" applyFill="1" applyBorder="1" applyAlignment="1">
      <alignment horizontal="left"/>
    </xf>
    <xf numFmtId="190" fontId="35" fillId="5" borderId="50" xfId="1" applyNumberFormat="1" applyFont="1" applyFill="1" applyBorder="1"/>
    <xf numFmtId="0" fontId="11" fillId="0" borderId="44" xfId="0" applyFont="1" applyBorder="1" applyAlignment="1">
      <alignment horizontal="center" vertical="center"/>
    </xf>
    <xf numFmtId="190" fontId="15" fillId="0" borderId="16" xfId="1" applyNumberFormat="1" applyFont="1" applyBorder="1"/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190" fontId="15" fillId="0" borderId="66" xfId="1" applyNumberFormat="1" applyFont="1" applyBorder="1"/>
    <xf numFmtId="0" fontId="5" fillId="0" borderId="32" xfId="0" applyFont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190" fontId="35" fillId="5" borderId="67" xfId="1" applyNumberFormat="1" applyFont="1" applyFill="1" applyBorder="1"/>
    <xf numFmtId="0" fontId="11" fillId="5" borderId="46" xfId="0" applyFont="1" applyFill="1" applyBorder="1" applyAlignment="1">
      <alignment horizontal="center" vertical="center"/>
    </xf>
    <xf numFmtId="0" fontId="11" fillId="9" borderId="46" xfId="0" applyFont="1" applyFill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190" fontId="15" fillId="28" borderId="66" xfId="1" applyNumberFormat="1" applyFont="1" applyFill="1" applyBorder="1"/>
    <xf numFmtId="190" fontId="15" fillId="28" borderId="27" xfId="1" applyNumberFormat="1" applyFont="1" applyFill="1" applyBorder="1"/>
    <xf numFmtId="0" fontId="5" fillId="28" borderId="4" xfId="0" applyFont="1" applyFill="1" applyBorder="1" applyAlignment="1">
      <alignment horizontal="center" vertical="center"/>
    </xf>
    <xf numFmtId="0" fontId="5" fillId="28" borderId="32" xfId="0" applyFont="1" applyFill="1" applyBorder="1" applyAlignment="1">
      <alignment horizontal="center" vertical="center"/>
    </xf>
    <xf numFmtId="0" fontId="0" fillId="28" borderId="0" xfId="0" applyFill="1"/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3" fillId="21" borderId="4" xfId="1" applyFont="1" applyFill="1" applyBorder="1" applyAlignment="1">
      <alignment horizontal="center" vertical="center"/>
    </xf>
    <xf numFmtId="0" fontId="3" fillId="21" borderId="4" xfId="1" applyFont="1" applyFill="1" applyBorder="1" applyAlignment="1">
      <alignment horizontal="center"/>
    </xf>
    <xf numFmtId="0" fontId="3" fillId="21" borderId="49" xfId="1" applyFont="1" applyFill="1" applyBorder="1" applyAlignment="1">
      <alignment horizontal="center" vertical="center"/>
    </xf>
    <xf numFmtId="0" fontId="3" fillId="21" borderId="44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5" fillId="28" borderId="2" xfId="1" applyFont="1" applyFill="1" applyBorder="1"/>
    <xf numFmtId="191" fontId="5" fillId="28" borderId="21" xfId="1" applyNumberFormat="1" applyFont="1" applyFill="1" applyBorder="1"/>
    <xf numFmtId="0" fontId="4" fillId="28" borderId="29" xfId="1" applyFill="1" applyBorder="1" applyAlignment="1">
      <alignment horizontal="center"/>
    </xf>
    <xf numFmtId="0" fontId="4" fillId="28" borderId="3" xfId="1" applyFill="1" applyBorder="1" applyAlignment="1">
      <alignment horizontal="center"/>
    </xf>
    <xf numFmtId="190" fontId="15" fillId="28" borderId="24" xfId="1" applyNumberFormat="1" applyFont="1" applyFill="1" applyBorder="1" applyAlignment="1">
      <alignment horizontal="right"/>
    </xf>
    <xf numFmtId="190" fontId="15" fillId="28" borderId="10" xfId="1" applyNumberFormat="1" applyFont="1" applyFill="1" applyBorder="1" applyAlignment="1">
      <alignment horizontal="right"/>
    </xf>
    <xf numFmtId="190" fontId="15" fillId="28" borderId="21" xfId="1" applyNumberFormat="1" applyFont="1" applyFill="1" applyBorder="1" applyAlignment="1">
      <alignment horizontal="right"/>
    </xf>
    <xf numFmtId="190" fontId="12" fillId="28" borderId="26" xfId="1" applyNumberFormat="1" applyFont="1" applyFill="1" applyBorder="1" applyAlignment="1">
      <alignment horizontal="right"/>
    </xf>
    <xf numFmtId="190" fontId="12" fillId="28" borderId="0" xfId="1" applyNumberFormat="1" applyFont="1" applyFill="1" applyAlignment="1">
      <alignment horizontal="right"/>
    </xf>
    <xf numFmtId="190" fontId="15" fillId="28" borderId="2" xfId="1" applyNumberFormat="1" applyFont="1" applyFill="1" applyBorder="1" applyAlignment="1">
      <alignment horizontal="right"/>
    </xf>
    <xf numFmtId="190" fontId="16" fillId="28" borderId="10" xfId="1" applyNumberFormat="1" applyFont="1" applyFill="1" applyBorder="1"/>
    <xf numFmtId="190" fontId="17" fillId="28" borderId="10" xfId="1" applyNumberFormat="1" applyFont="1" applyFill="1" applyBorder="1"/>
    <xf numFmtId="190" fontId="18" fillId="28" borderId="10" xfId="1" applyNumberFormat="1" applyFont="1" applyFill="1" applyBorder="1"/>
    <xf numFmtId="190" fontId="9" fillId="28" borderId="10" xfId="1" applyNumberFormat="1" applyFont="1" applyFill="1" applyBorder="1"/>
    <xf numFmtId="190" fontId="19" fillId="28" borderId="10" xfId="1" applyNumberFormat="1" applyFont="1" applyFill="1" applyBorder="1"/>
    <xf numFmtId="190" fontId="15" fillId="28" borderId="10" xfId="1" applyNumberFormat="1" applyFont="1" applyFill="1" applyBorder="1"/>
    <xf numFmtId="190" fontId="19" fillId="28" borderId="0" xfId="1" applyNumberFormat="1" applyFont="1" applyFill="1" applyAlignment="1">
      <alignment horizontal="right"/>
    </xf>
    <xf numFmtId="9" fontId="5" fillId="28" borderId="0" xfId="2" applyFont="1" applyFill="1" applyBorder="1" applyAlignment="1">
      <alignment horizontal="right"/>
    </xf>
    <xf numFmtId="190" fontId="4" fillId="28" borderId="0" xfId="1" applyNumberFormat="1" applyFill="1"/>
    <xf numFmtId="0" fontId="4" fillId="28" borderId="0" xfId="1" applyFill="1"/>
    <xf numFmtId="0" fontId="5" fillId="28" borderId="10" xfId="1" applyFont="1" applyFill="1" applyBorder="1"/>
    <xf numFmtId="191" fontId="5" fillId="28" borderId="10" xfId="1" applyNumberFormat="1" applyFont="1" applyFill="1" applyBorder="1"/>
    <xf numFmtId="190" fontId="20" fillId="28" borderId="10" xfId="1" applyNumberFormat="1" applyFont="1" applyFill="1" applyBorder="1"/>
    <xf numFmtId="190" fontId="5" fillId="28" borderId="21" xfId="1" applyNumberFormat="1" applyFont="1" applyFill="1" applyBorder="1" applyAlignment="1">
      <alignment horizontal="right"/>
    </xf>
    <xf numFmtId="2" fontId="10" fillId="28" borderId="0" xfId="1" applyNumberFormat="1" applyFont="1" applyFill="1"/>
    <xf numFmtId="0" fontId="3" fillId="5" borderId="4" xfId="1" applyFont="1" applyFill="1" applyBorder="1" applyAlignment="1">
      <alignment horizontal="center"/>
    </xf>
    <xf numFmtId="0" fontId="11" fillId="28" borderId="4" xfId="1" applyFont="1" applyFill="1" applyBorder="1" applyAlignment="1">
      <alignment horizontal="center" vertical="center"/>
    </xf>
    <xf numFmtId="0" fontId="11" fillId="28" borderId="4" xfId="1" applyFont="1" applyFill="1" applyBorder="1" applyAlignment="1">
      <alignment horizontal="left" vertical="center"/>
    </xf>
    <xf numFmtId="0" fontId="4" fillId="28" borderId="0" xfId="1" applyFill="1" applyAlignment="1">
      <alignment horizontal="left"/>
    </xf>
    <xf numFmtId="195" fontId="23" fillId="28" borderId="44" xfId="1" applyNumberFormat="1" applyFont="1" applyFill="1" applyBorder="1" applyAlignment="1">
      <alignment horizontal="left"/>
    </xf>
    <xf numFmtId="195" fontId="23" fillId="28" borderId="4" xfId="1" applyNumberFormat="1" applyFont="1" applyFill="1" applyBorder="1" applyAlignment="1">
      <alignment horizontal="left" vertical="center"/>
    </xf>
    <xf numFmtId="193" fontId="23" fillId="28" borderId="44" xfId="3" applyFont="1" applyFill="1" applyBorder="1" applyAlignment="1">
      <alignment vertical="center"/>
    </xf>
    <xf numFmtId="195" fontId="23" fillId="28" borderId="4" xfId="1" applyNumberFormat="1" applyFont="1" applyFill="1" applyBorder="1"/>
    <xf numFmtId="0" fontId="4" fillId="28" borderId="4" xfId="1" applyFill="1" applyBorder="1"/>
    <xf numFmtId="0" fontId="11" fillId="28" borderId="44" xfId="1" applyFont="1" applyFill="1" applyBorder="1" applyAlignment="1">
      <alignment horizontal="center" vertical="center"/>
    </xf>
    <xf numFmtId="0" fontId="23" fillId="28" borderId="4" xfId="1" applyFont="1" applyFill="1" applyBorder="1"/>
    <xf numFmtId="0" fontId="11" fillId="28" borderId="5" xfId="1" applyFont="1" applyFill="1" applyBorder="1" applyAlignment="1">
      <alignment horizontal="center" vertical="center"/>
    </xf>
    <xf numFmtId="0" fontId="0" fillId="28" borderId="4" xfId="0" applyFill="1" applyBorder="1"/>
    <xf numFmtId="0" fontId="23" fillId="28" borderId="46" xfId="1" applyFont="1" applyFill="1" applyBorder="1" applyAlignment="1">
      <alignment horizontal="center" vertical="center"/>
    </xf>
    <xf numFmtId="193" fontId="23" fillId="28" borderId="46" xfId="3" applyFont="1" applyFill="1" applyBorder="1" applyAlignment="1">
      <alignment horizontal="center" vertical="center"/>
    </xf>
    <xf numFmtId="193" fontId="23" fillId="28" borderId="4" xfId="3" applyFont="1" applyFill="1" applyBorder="1" applyAlignment="1">
      <alignment horizontal="center" vertical="center"/>
    </xf>
    <xf numFmtId="196" fontId="23" fillId="28" borderId="49" xfId="2" applyNumberFormat="1" applyFont="1" applyFill="1" applyBorder="1" applyAlignment="1">
      <alignment vertical="center"/>
    </xf>
    <xf numFmtId="193" fontId="23" fillId="28" borderId="4" xfId="3" applyFont="1" applyFill="1" applyBorder="1"/>
    <xf numFmtId="0" fontId="11" fillId="28" borderId="4" xfId="1" applyFont="1" applyFill="1" applyBorder="1"/>
    <xf numFmtId="196" fontId="23" fillId="28" borderId="4" xfId="2" applyNumberFormat="1" applyFont="1" applyFill="1" applyBorder="1" applyAlignment="1">
      <alignment vertical="center"/>
    </xf>
    <xf numFmtId="0" fontId="3" fillId="28" borderId="4" xfId="1" applyFont="1" applyFill="1" applyBorder="1" applyAlignment="1">
      <alignment horizontal="center" vertical="center"/>
    </xf>
    <xf numFmtId="0" fontId="11" fillId="28" borderId="45" xfId="1" applyFont="1" applyFill="1" applyBorder="1"/>
    <xf numFmtId="193" fontId="23" fillId="28" borderId="45" xfId="3" applyFont="1" applyFill="1" applyBorder="1" applyAlignment="1">
      <alignment horizontal="center" vertical="center"/>
    </xf>
    <xf numFmtId="193" fontId="23" fillId="14" borderId="45" xfId="3" applyFont="1" applyFill="1" applyBorder="1"/>
    <xf numFmtId="14" fontId="0" fillId="0" borderId="56" xfId="0" applyNumberFormat="1" applyBorder="1" applyAlignment="1">
      <alignment horizontal="center"/>
    </xf>
    <xf numFmtId="193" fontId="11" fillId="9" borderId="0" xfId="3" applyFont="1" applyFill="1" applyBorder="1" applyAlignment="1">
      <alignment horizontal="right" vertical="center"/>
    </xf>
    <xf numFmtId="0" fontId="4" fillId="2" borderId="48" xfId="1" applyFill="1" applyBorder="1" applyAlignment="1">
      <alignment horizontal="center"/>
    </xf>
    <xf numFmtId="0" fontId="4" fillId="12" borderId="4" xfId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11" borderId="0" xfId="0" applyFill="1"/>
    <xf numFmtId="189" fontId="0" fillId="11" borderId="0" xfId="5" applyFont="1" applyFill="1" applyAlignment="1">
      <alignment horizontal="center"/>
    </xf>
    <xf numFmtId="194" fontId="4" fillId="0" borderId="4" xfId="1" quotePrefix="1" applyNumberFormat="1" applyBorder="1" applyAlignment="1">
      <alignment horizontal="center"/>
    </xf>
    <xf numFmtId="193" fontId="25" fillId="0" borderId="0" xfId="3" applyFont="1" applyFill="1" applyBorder="1"/>
    <xf numFmtId="0" fontId="0" fillId="5" borderId="0" xfId="0" applyFill="1" applyAlignment="1">
      <alignment horizontal="left"/>
    </xf>
    <xf numFmtId="189" fontId="0" fillId="5" borderId="0" xfId="5" applyFont="1" applyFill="1" applyAlignment="1">
      <alignment horizontal="center"/>
    </xf>
    <xf numFmtId="195" fontId="23" fillId="5" borderId="44" xfId="1" applyNumberFormat="1" applyFont="1" applyFill="1" applyBorder="1" applyAlignment="1">
      <alignment horizontal="left"/>
    </xf>
    <xf numFmtId="0" fontId="4" fillId="5" borderId="4" xfId="1" applyFill="1" applyBorder="1"/>
    <xf numFmtId="0" fontId="11" fillId="5" borderId="44" xfId="1" applyFont="1" applyFill="1" applyBorder="1" applyAlignment="1">
      <alignment horizontal="center" vertical="center"/>
    </xf>
    <xf numFmtId="0" fontId="23" fillId="5" borderId="4" xfId="1" applyFont="1" applyFill="1" applyBorder="1"/>
    <xf numFmtId="0" fontId="0" fillId="5" borderId="4" xfId="0" applyFill="1" applyBorder="1"/>
    <xf numFmtId="193" fontId="23" fillId="5" borderId="46" xfId="3" applyFont="1" applyFill="1" applyBorder="1" applyAlignment="1">
      <alignment horizontal="center" vertical="center"/>
    </xf>
    <xf numFmtId="193" fontId="23" fillId="5" borderId="4" xfId="3" applyFont="1" applyFill="1" applyBorder="1"/>
    <xf numFmtId="193" fontId="23" fillId="11" borderId="4" xfId="3" applyFont="1" applyFill="1" applyBorder="1" applyAlignment="1">
      <alignment horizontal="center" vertical="center"/>
    </xf>
    <xf numFmtId="189" fontId="23" fillId="10" borderId="46" xfId="5" applyFont="1" applyFill="1" applyBorder="1" applyAlignment="1">
      <alignment horizontal="center" vertical="center"/>
    </xf>
    <xf numFmtId="190" fontId="15" fillId="22" borderId="10" xfId="1" applyNumberFormat="1" applyFont="1" applyFill="1" applyBorder="1" applyAlignment="1">
      <alignment horizontal="right"/>
    </xf>
    <xf numFmtId="193" fontId="34" fillId="5" borderId="0" xfId="3" applyFont="1" applyFill="1" applyBorder="1"/>
    <xf numFmtId="0" fontId="23" fillId="0" borderId="0" xfId="0" applyFont="1" applyAlignment="1">
      <alignment horizontal="center" vertical="center"/>
    </xf>
    <xf numFmtId="0" fontId="5" fillId="36" borderId="17" xfId="1" applyFont="1" applyFill="1" applyBorder="1" applyAlignment="1">
      <alignment horizontal="center" vertical="center" wrapText="1"/>
    </xf>
    <xf numFmtId="190" fontId="15" fillId="38" borderId="10" xfId="1" applyNumberFormat="1" applyFont="1" applyFill="1" applyBorder="1" applyAlignment="1">
      <alignment horizontal="right"/>
    </xf>
    <xf numFmtId="0" fontId="11" fillId="36" borderId="10" xfId="1" applyFont="1" applyFill="1" applyBorder="1" applyAlignment="1">
      <alignment horizontal="center" vertical="center" wrapText="1"/>
    </xf>
    <xf numFmtId="190" fontId="15" fillId="2" borderId="10" xfId="1" applyNumberFormat="1" applyFont="1" applyFill="1" applyBorder="1" applyAlignment="1">
      <alignment horizontal="right"/>
    </xf>
    <xf numFmtId="190" fontId="7" fillId="36" borderId="10" xfId="1" applyNumberFormat="1" applyFont="1" applyFill="1" applyBorder="1" applyAlignment="1">
      <alignment horizontal="center" vertical="center" wrapText="1"/>
    </xf>
    <xf numFmtId="189" fontId="25" fillId="0" borderId="0" xfId="5" applyFont="1" applyBorder="1"/>
    <xf numFmtId="193" fontId="25" fillId="0" borderId="57" xfId="3" applyFont="1" applyBorder="1"/>
    <xf numFmtId="14" fontId="0" fillId="0" borderId="58" xfId="0" applyNumberFormat="1" applyBorder="1" applyAlignment="1">
      <alignment horizontal="center"/>
    </xf>
    <xf numFmtId="189" fontId="0" fillId="0" borderId="0" xfId="5" applyFont="1"/>
    <xf numFmtId="0" fontId="36" fillId="0" borderId="0" xfId="0" applyFont="1"/>
    <xf numFmtId="0" fontId="36" fillId="39" borderId="4" xfId="0" applyFont="1" applyFill="1" applyBorder="1"/>
    <xf numFmtId="0" fontId="38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4" xfId="0" applyFont="1" applyBorder="1" applyAlignment="1">
      <alignment horizontal="center" vertical="center"/>
    </xf>
    <xf numFmtId="14" fontId="38" fillId="0" borderId="74" xfId="0" applyNumberFormat="1" applyFont="1" applyBorder="1" applyAlignment="1">
      <alignment horizontal="center" vertical="center"/>
    </xf>
    <xf numFmtId="188" fontId="39" fillId="0" borderId="75" xfId="0" applyNumberFormat="1" applyFont="1" applyBorder="1"/>
    <xf numFmtId="188" fontId="39" fillId="0" borderId="76" xfId="0" applyNumberFormat="1" applyFont="1" applyBorder="1"/>
    <xf numFmtId="188" fontId="39" fillId="40" borderId="76" xfId="0" applyNumberFormat="1" applyFont="1" applyFill="1" applyBorder="1"/>
    <xf numFmtId="0" fontId="40" fillId="0" borderId="64" xfId="0" applyFont="1" applyBorder="1" applyAlignment="1">
      <alignment horizontal="center" vertical="center"/>
    </xf>
    <xf numFmtId="0" fontId="40" fillId="0" borderId="65" xfId="0" applyFont="1" applyBorder="1" applyAlignment="1">
      <alignment horizontal="center" vertical="center"/>
    </xf>
    <xf numFmtId="188" fontId="39" fillId="0" borderId="77" xfId="0" applyNumberFormat="1" applyFont="1" applyBorder="1"/>
    <xf numFmtId="188" fontId="39" fillId="0" borderId="78" xfId="0" applyNumberFormat="1" applyFont="1" applyBorder="1"/>
    <xf numFmtId="188" fontId="39" fillId="40" borderId="78" xfId="0" applyNumberFormat="1" applyFont="1" applyFill="1" applyBorder="1"/>
    <xf numFmtId="0" fontId="40" fillId="0" borderId="4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16" fontId="36" fillId="0" borderId="0" xfId="0" applyNumberFormat="1" applyFont="1" applyAlignment="1">
      <alignment horizontal="left"/>
    </xf>
    <xf numFmtId="188" fontId="36" fillId="0" borderId="0" xfId="0" applyNumberFormat="1" applyFont="1" applyAlignment="1">
      <alignment horizontal="center"/>
    </xf>
    <xf numFmtId="0" fontId="40" fillId="40" borderId="4" xfId="0" applyFont="1" applyFill="1" applyBorder="1" applyAlignment="1">
      <alignment horizontal="center" vertical="center"/>
    </xf>
    <xf numFmtId="0" fontId="40" fillId="40" borderId="32" xfId="0" applyFont="1" applyFill="1" applyBorder="1" applyAlignment="1">
      <alignment horizontal="center" vertical="center"/>
    </xf>
    <xf numFmtId="188" fontId="36" fillId="0" borderId="0" xfId="0" applyNumberFormat="1" applyFont="1"/>
    <xf numFmtId="188" fontId="41" fillId="40" borderId="79" xfId="0" applyNumberFormat="1" applyFont="1" applyFill="1" applyBorder="1"/>
    <xf numFmtId="188" fontId="41" fillId="40" borderId="80" xfId="0" applyNumberFormat="1" applyFont="1" applyFill="1" applyBorder="1"/>
    <xf numFmtId="0" fontId="38" fillId="40" borderId="46" xfId="0" applyFont="1" applyFill="1" applyBorder="1" applyAlignment="1">
      <alignment horizontal="center" vertical="center"/>
    </xf>
    <xf numFmtId="0" fontId="38" fillId="41" borderId="46" xfId="0" applyFont="1" applyFill="1" applyBorder="1" applyAlignment="1">
      <alignment horizontal="center" vertical="center"/>
    </xf>
    <xf numFmtId="0" fontId="38" fillId="0" borderId="68" xfId="0" applyFont="1" applyBorder="1" applyAlignment="1">
      <alignment horizontal="center" vertical="center"/>
    </xf>
    <xf numFmtId="0" fontId="42" fillId="40" borderId="0" xfId="0" applyFont="1" applyFill="1" applyAlignment="1">
      <alignment horizontal="center"/>
    </xf>
    <xf numFmtId="0" fontId="36" fillId="40" borderId="31" xfId="0" applyFont="1" applyFill="1" applyBorder="1"/>
    <xf numFmtId="0" fontId="43" fillId="40" borderId="33" xfId="0" applyFont="1" applyFill="1" applyBorder="1" applyAlignment="1">
      <alignment horizontal="center"/>
    </xf>
    <xf numFmtId="0" fontId="43" fillId="40" borderId="54" xfId="0" applyFont="1" applyFill="1" applyBorder="1" applyAlignment="1">
      <alignment horizontal="center"/>
    </xf>
    <xf numFmtId="0" fontId="44" fillId="0" borderId="55" xfId="0" applyFont="1" applyBorder="1" applyAlignment="1">
      <alignment horizontal="left" vertical="center"/>
    </xf>
    <xf numFmtId="0" fontId="36" fillId="40" borderId="0" xfId="0" applyFont="1" applyFill="1" applyAlignment="1">
      <alignment horizontal="center"/>
    </xf>
    <xf numFmtId="0" fontId="37" fillId="0" borderId="0" xfId="0" applyFont="1"/>
    <xf numFmtId="0" fontId="37" fillId="40" borderId="0" xfId="0" applyFont="1" applyFill="1" applyAlignment="1">
      <alignment horizontal="center" vertical="center" wrapText="1"/>
    </xf>
    <xf numFmtId="0" fontId="37" fillId="40" borderId="56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left" vertical="center"/>
    </xf>
    <xf numFmtId="0" fontId="37" fillId="40" borderId="55" xfId="0" applyFont="1" applyFill="1" applyBorder="1"/>
    <xf numFmtId="0" fontId="37" fillId="40" borderId="55" xfId="0" applyFont="1" applyFill="1" applyBorder="1" applyAlignment="1">
      <alignment vertical="center"/>
    </xf>
    <xf numFmtId="0" fontId="36" fillId="0" borderId="56" xfId="0" applyFont="1" applyBorder="1" applyAlignment="1">
      <alignment horizontal="center"/>
    </xf>
    <xf numFmtId="188" fontId="25" fillId="0" borderId="57" xfId="0" applyNumberFormat="1" applyFont="1" applyBorder="1"/>
    <xf numFmtId="0" fontId="36" fillId="0" borderId="58" xfId="0" applyFont="1" applyBorder="1"/>
    <xf numFmtId="188" fontId="25" fillId="0" borderId="0" xfId="0" applyNumberFormat="1" applyFont="1"/>
    <xf numFmtId="14" fontId="36" fillId="0" borderId="56" xfId="0" applyNumberFormat="1" applyFont="1" applyBorder="1"/>
    <xf numFmtId="0" fontId="36" fillId="40" borderId="0" xfId="0" applyFont="1" applyFill="1"/>
    <xf numFmtId="0" fontId="36" fillId="0" borderId="55" xfId="0" applyFont="1" applyBorder="1"/>
    <xf numFmtId="188" fontId="38" fillId="41" borderId="0" xfId="0" applyNumberFormat="1" applyFont="1" applyFill="1" applyAlignment="1">
      <alignment horizontal="right" vertical="center"/>
    </xf>
    <xf numFmtId="0" fontId="36" fillId="0" borderId="56" xfId="0" applyFont="1" applyBorder="1"/>
    <xf numFmtId="188" fontId="34" fillId="40" borderId="0" xfId="0" applyNumberFormat="1" applyFont="1" applyFill="1"/>
    <xf numFmtId="0" fontId="36" fillId="40" borderId="56" xfId="0" applyFont="1" applyFill="1" applyBorder="1"/>
    <xf numFmtId="188" fontId="37" fillId="0" borderId="0" xfId="0" applyNumberFormat="1" applyFont="1"/>
    <xf numFmtId="0" fontId="36" fillId="40" borderId="0" xfId="0" applyFont="1" applyFill="1" applyAlignment="1">
      <alignment horizontal="left"/>
    </xf>
    <xf numFmtId="0" fontId="36" fillId="0" borderId="0" xfId="0" applyFont="1" applyAlignment="1">
      <alignment horizontal="center"/>
    </xf>
    <xf numFmtId="188" fontId="36" fillId="43" borderId="0" xfId="0" applyNumberFormat="1" applyFont="1" applyFill="1"/>
    <xf numFmtId="188" fontId="36" fillId="44" borderId="0" xfId="0" applyNumberFormat="1" applyFont="1" applyFill="1"/>
    <xf numFmtId="0" fontId="37" fillId="0" borderId="55" xfId="0" applyFont="1" applyBorder="1"/>
    <xf numFmtId="0" fontId="37" fillId="45" borderId="55" xfId="0" applyFont="1" applyFill="1" applyBorder="1"/>
    <xf numFmtId="0" fontId="36" fillId="45" borderId="0" xfId="0" applyFont="1" applyFill="1"/>
    <xf numFmtId="188" fontId="37" fillId="45" borderId="0" xfId="0" applyNumberFormat="1" applyFont="1" applyFill="1"/>
    <xf numFmtId="0" fontId="36" fillId="45" borderId="56" xfId="0" applyFont="1" applyFill="1" applyBorder="1"/>
    <xf numFmtId="0" fontId="37" fillId="40" borderId="59" xfId="0" applyFont="1" applyFill="1" applyBorder="1"/>
    <xf numFmtId="188" fontId="36" fillId="40" borderId="15" xfId="0" applyNumberFormat="1" applyFont="1" applyFill="1" applyBorder="1" applyAlignment="1">
      <alignment horizontal="center"/>
    </xf>
    <xf numFmtId="0" fontId="36" fillId="40" borderId="15" xfId="0" applyFont="1" applyFill="1" applyBorder="1"/>
    <xf numFmtId="0" fontId="36" fillId="40" borderId="60" xfId="0" applyFont="1" applyFill="1" applyBorder="1"/>
    <xf numFmtId="0" fontId="36" fillId="0" borderId="61" xfId="0" applyFont="1" applyBorder="1"/>
    <xf numFmtId="0" fontId="36" fillId="0" borderId="62" xfId="0" applyFont="1" applyBorder="1"/>
    <xf numFmtId="0" fontId="37" fillId="0" borderId="0" xfId="0" applyFont="1" applyAlignment="1">
      <alignment horizontal="left"/>
    </xf>
    <xf numFmtId="188" fontId="34" fillId="43" borderId="0" xfId="0" applyNumberFormat="1" applyFont="1" applyFill="1" applyAlignment="1">
      <alignment horizontal="center"/>
    </xf>
    <xf numFmtId="0" fontId="37" fillId="40" borderId="61" xfId="0" applyFont="1" applyFill="1" applyBorder="1"/>
    <xf numFmtId="188" fontId="36" fillId="44" borderId="62" xfId="0" applyNumberFormat="1" applyFont="1" applyFill="1" applyBorder="1"/>
    <xf numFmtId="0" fontId="37" fillId="40" borderId="62" xfId="0" applyFont="1" applyFill="1" applyBorder="1" applyAlignment="1">
      <alignment horizontal="left"/>
    </xf>
    <xf numFmtId="0" fontId="37" fillId="40" borderId="63" xfId="0" applyFont="1" applyFill="1" applyBorder="1" applyAlignment="1">
      <alignment horizontal="left"/>
    </xf>
    <xf numFmtId="0" fontId="4" fillId="10" borderId="81" xfId="1" applyFill="1" applyBorder="1" applyAlignment="1">
      <alignment horizontal="center"/>
    </xf>
    <xf numFmtId="0" fontId="4" fillId="10" borderId="5" xfId="1" applyFill="1" applyBorder="1" applyAlignment="1">
      <alignment horizontal="center"/>
    </xf>
    <xf numFmtId="0" fontId="4" fillId="3" borderId="33" xfId="1" applyFill="1" applyBorder="1" applyAlignment="1">
      <alignment horizontal="center"/>
    </xf>
    <xf numFmtId="0" fontId="5" fillId="0" borderId="16" xfId="1" applyFont="1" applyBorder="1"/>
    <xf numFmtId="191" fontId="5" fillId="0" borderId="82" xfId="1" applyNumberFormat="1" applyFont="1" applyBorder="1"/>
    <xf numFmtId="0" fontId="5" fillId="0" borderId="24" xfId="1" applyFont="1" applyBorder="1"/>
    <xf numFmtId="0" fontId="5" fillId="5" borderId="24" xfId="1" applyFont="1" applyFill="1" applyBorder="1"/>
    <xf numFmtId="0" fontId="5" fillId="2" borderId="83" xfId="1" applyFont="1" applyFill="1" applyBorder="1" applyAlignment="1">
      <alignment horizontal="center"/>
    </xf>
    <xf numFmtId="0" fontId="5" fillId="2" borderId="84" xfId="1" applyFont="1" applyFill="1" applyBorder="1" applyAlignment="1">
      <alignment horizontal="center"/>
    </xf>
    <xf numFmtId="197" fontId="23" fillId="30" borderId="5" xfId="1" applyNumberFormat="1" applyFont="1" applyFill="1" applyBorder="1"/>
    <xf numFmtId="192" fontId="1" fillId="36" borderId="4" xfId="1" applyNumberFormat="1" applyFont="1" applyFill="1" applyBorder="1" applyAlignment="1">
      <alignment horizontal="center" vertical="center" wrapText="1"/>
    </xf>
    <xf numFmtId="0" fontId="4" fillId="36" borderId="4" xfId="1" applyFill="1" applyBorder="1"/>
    <xf numFmtId="192" fontId="1" fillId="36" borderId="5" xfId="1" applyNumberFormat="1" applyFont="1" applyFill="1" applyBorder="1" applyAlignment="1">
      <alignment horizontal="center" vertical="center" wrapText="1"/>
    </xf>
    <xf numFmtId="192" fontId="1" fillId="36" borderId="46" xfId="1" applyNumberFormat="1" applyFont="1" applyFill="1" applyBorder="1" applyAlignment="1">
      <alignment horizontal="center" vertical="center" wrapText="1"/>
    </xf>
    <xf numFmtId="192" fontId="1" fillId="36" borderId="49" xfId="3" applyNumberFormat="1" applyFont="1" applyFill="1" applyBorder="1" applyAlignment="1">
      <alignment horizontal="center"/>
    </xf>
    <xf numFmtId="192" fontId="1" fillId="36" borderId="49" xfId="3" applyNumberFormat="1" applyFont="1" applyFill="1" applyBorder="1" applyAlignment="1">
      <alignment horizontal="center" vertical="center"/>
    </xf>
    <xf numFmtId="192" fontId="1" fillId="36" borderId="4" xfId="3" applyNumberFormat="1" applyFont="1" applyFill="1" applyBorder="1" applyAlignment="1">
      <alignment horizontal="center"/>
    </xf>
    <xf numFmtId="0" fontId="0" fillId="46" borderId="4" xfId="1" applyFont="1" applyFill="1" applyBorder="1" applyAlignment="1">
      <alignment horizontal="center"/>
    </xf>
    <xf numFmtId="14" fontId="45" fillId="0" borderId="56" xfId="0" applyNumberFormat="1" applyFont="1" applyBorder="1"/>
    <xf numFmtId="189" fontId="23" fillId="25" borderId="46" xfId="5" applyFont="1" applyFill="1" applyBorder="1" applyAlignment="1">
      <alignment horizontal="center" vertical="center"/>
    </xf>
    <xf numFmtId="0" fontId="29" fillId="11" borderId="0" xfId="1" applyFont="1" applyFill="1" applyAlignment="1">
      <alignment horizontal="center"/>
    </xf>
    <xf numFmtId="0" fontId="4" fillId="15" borderId="4" xfId="1" applyFill="1" applyBorder="1" applyAlignment="1">
      <alignment horizontal="center"/>
    </xf>
    <xf numFmtId="0" fontId="4" fillId="15" borderId="5" xfId="1" applyFill="1" applyBorder="1" applyAlignment="1">
      <alignment horizontal="center"/>
    </xf>
    <xf numFmtId="0" fontId="4" fillId="3" borderId="39" xfId="1" applyFill="1" applyBorder="1" applyAlignment="1">
      <alignment horizontal="center"/>
    </xf>
    <xf numFmtId="0" fontId="4" fillId="3" borderId="85" xfId="1" applyFill="1" applyBorder="1" applyAlignment="1">
      <alignment horizontal="center"/>
    </xf>
    <xf numFmtId="0" fontId="4" fillId="3" borderId="0" xfId="1" applyFill="1" applyAlignment="1">
      <alignment horizontal="center"/>
    </xf>
    <xf numFmtId="0" fontId="4" fillId="10" borderId="86" xfId="1" applyFill="1" applyBorder="1" applyAlignment="1">
      <alignment horizontal="center"/>
    </xf>
    <xf numFmtId="0" fontId="4" fillId="10" borderId="87" xfId="1" applyFill="1" applyBorder="1" applyAlignment="1">
      <alignment horizontal="center"/>
    </xf>
    <xf numFmtId="0" fontId="4" fillId="10" borderId="88" xfId="1" applyFill="1" applyBorder="1" applyAlignment="1">
      <alignment horizontal="center"/>
    </xf>
    <xf numFmtId="0" fontId="4" fillId="10" borderId="89" xfId="1" applyFill="1" applyBorder="1" applyAlignment="1">
      <alignment horizontal="center"/>
    </xf>
    <xf numFmtId="194" fontId="27" fillId="11" borderId="0" xfId="1" applyNumberFormat="1" applyFont="1" applyFill="1" applyAlignment="1">
      <alignment horizontal="center"/>
    </xf>
    <xf numFmtId="196" fontId="23" fillId="47" borderId="4" xfId="2" applyNumberFormat="1" applyFont="1" applyFill="1" applyBorder="1" applyAlignment="1">
      <alignment vertical="center"/>
    </xf>
    <xf numFmtId="14" fontId="27" fillId="5" borderId="0" xfId="1" applyNumberFormat="1" applyFont="1" applyFill="1" applyAlignment="1">
      <alignment horizontal="center"/>
    </xf>
    <xf numFmtId="190" fontId="12" fillId="4" borderId="25" xfId="1" applyNumberFormat="1" applyFont="1" applyFill="1" applyBorder="1" applyAlignment="1">
      <alignment horizontal="right"/>
    </xf>
    <xf numFmtId="14" fontId="27" fillId="18" borderId="0" xfId="1" applyNumberFormat="1" applyFont="1" applyFill="1" applyAlignment="1">
      <alignment horizontal="center"/>
    </xf>
    <xf numFmtId="0" fontId="4" fillId="16" borderId="72" xfId="1" applyFill="1" applyBorder="1" applyAlignment="1">
      <alignment horizontal="center"/>
    </xf>
    <xf numFmtId="0" fontId="4" fillId="16" borderId="14" xfId="1" applyFill="1" applyBorder="1" applyAlignment="1">
      <alignment horizontal="center"/>
    </xf>
    <xf numFmtId="0" fontId="5" fillId="2" borderId="36" xfId="1" applyFont="1" applyFill="1" applyBorder="1" applyAlignment="1">
      <alignment horizontal="center"/>
    </xf>
    <xf numFmtId="0" fontId="5" fillId="2" borderId="40" xfId="1" applyFont="1" applyFill="1" applyBorder="1" applyAlignment="1">
      <alignment horizontal="center"/>
    </xf>
    <xf numFmtId="0" fontId="4" fillId="16" borderId="59" xfId="1" applyFill="1" applyBorder="1" applyAlignment="1">
      <alignment horizontal="center"/>
    </xf>
    <xf numFmtId="0" fontId="4" fillId="16" borderId="15" xfId="1" applyFill="1" applyBorder="1" applyAlignment="1">
      <alignment horizontal="center"/>
    </xf>
    <xf numFmtId="190" fontId="6" fillId="37" borderId="73" xfId="1" applyNumberFormat="1" applyFont="1" applyFill="1" applyBorder="1" applyAlignment="1">
      <alignment horizontal="center" vertical="center"/>
    </xf>
    <xf numFmtId="190" fontId="6" fillId="4" borderId="6" xfId="1" applyNumberFormat="1" applyFont="1" applyFill="1" applyBorder="1" applyAlignment="1">
      <alignment horizontal="center" vertical="center"/>
    </xf>
    <xf numFmtId="190" fontId="6" fillId="4" borderId="7" xfId="1" applyNumberFormat="1" applyFont="1" applyFill="1" applyBorder="1" applyAlignment="1">
      <alignment horizontal="center" vertical="center"/>
    </xf>
    <xf numFmtId="190" fontId="6" fillId="4" borderId="8" xfId="1" applyNumberFormat="1" applyFont="1" applyFill="1" applyBorder="1" applyAlignment="1">
      <alignment horizontal="center" vertical="center"/>
    </xf>
    <xf numFmtId="0" fontId="0" fillId="3" borderId="13" xfId="1" applyFont="1" applyFill="1" applyBorder="1" applyAlignment="1">
      <alignment horizontal="center" vertical="center"/>
    </xf>
    <xf numFmtId="0" fontId="4" fillId="3" borderId="14" xfId="1" applyFill="1" applyBorder="1" applyAlignment="1">
      <alignment horizontal="center" vertical="center"/>
    </xf>
    <xf numFmtId="190" fontId="6" fillId="3" borderId="7" xfId="1" applyNumberFormat="1" applyFont="1" applyFill="1" applyBorder="1" applyAlignment="1">
      <alignment horizontal="center" vertical="center"/>
    </xf>
    <xf numFmtId="0" fontId="0" fillId="14" borderId="43" xfId="1" applyFont="1" applyFill="1" applyBorder="1" applyAlignment="1">
      <alignment horizontal="left"/>
    </xf>
    <xf numFmtId="0" fontId="0" fillId="14" borderId="0" xfId="1" applyFont="1" applyFill="1" applyAlignment="1">
      <alignment horizontal="left"/>
    </xf>
    <xf numFmtId="193" fontId="26" fillId="5" borderId="43" xfId="3" applyFont="1" applyFill="1" applyBorder="1" applyAlignment="1">
      <alignment horizontal="left"/>
    </xf>
    <xf numFmtId="193" fontId="26" fillId="5" borderId="0" xfId="3" applyFont="1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1" applyFont="1" applyFill="1" applyAlignment="1">
      <alignment horizontal="left"/>
    </xf>
    <xf numFmtId="0" fontId="0" fillId="0" borderId="43" xfId="1" applyFont="1" applyBorder="1" applyAlignment="1">
      <alignment horizontal="left"/>
    </xf>
    <xf numFmtId="0" fontId="0" fillId="0" borderId="0" xfId="1" applyFont="1" applyAlignment="1">
      <alignment horizontal="left"/>
    </xf>
    <xf numFmtId="190" fontId="4" fillId="25" borderId="3" xfId="1" applyNumberFormat="1" applyFill="1" applyBorder="1" applyAlignment="1">
      <alignment horizontal="center"/>
    </xf>
    <xf numFmtId="190" fontId="4" fillId="25" borderId="5" xfId="1" applyNumberFormat="1" applyFill="1" applyBorder="1" applyAlignment="1">
      <alignment horizontal="center"/>
    </xf>
    <xf numFmtId="0" fontId="4" fillId="11" borderId="0" xfId="1" applyFill="1" applyAlignment="1">
      <alignment horizontal="left"/>
    </xf>
    <xf numFmtId="0" fontId="2" fillId="3" borderId="4" xfId="1" applyFont="1" applyFill="1" applyBorder="1" applyAlignment="1">
      <alignment horizontal="center" vertical="center"/>
    </xf>
    <xf numFmtId="191" fontId="11" fillId="12" borderId="3" xfId="1" applyNumberFormat="1" applyFont="1" applyFill="1" applyBorder="1" applyAlignment="1">
      <alignment horizontal="center" vertical="center"/>
    </xf>
    <xf numFmtId="191" fontId="11" fillId="12" borderId="5" xfId="1" applyNumberFormat="1" applyFont="1" applyFill="1" applyBorder="1" applyAlignment="1">
      <alignment horizontal="center" vertical="center"/>
    </xf>
    <xf numFmtId="0" fontId="0" fillId="5" borderId="43" xfId="1" applyFont="1" applyFill="1" applyBorder="1" applyAlignment="1">
      <alignment horizontal="left"/>
    </xf>
    <xf numFmtId="0" fontId="3" fillId="11" borderId="0" xfId="1" applyFont="1" applyFill="1" applyAlignment="1">
      <alignment horizontal="center"/>
    </xf>
    <xf numFmtId="0" fontId="0" fillId="5" borderId="39" xfId="0" applyFill="1" applyBorder="1" applyAlignment="1">
      <alignment horizontal="center"/>
    </xf>
    <xf numFmtId="0" fontId="0" fillId="11" borderId="39" xfId="1" applyFont="1" applyFill="1" applyBorder="1" applyAlignment="1">
      <alignment horizontal="center"/>
    </xf>
    <xf numFmtId="0" fontId="4" fillId="11" borderId="42" xfId="1" applyFill="1" applyBorder="1" applyAlignment="1">
      <alignment horizontal="center"/>
    </xf>
    <xf numFmtId="0" fontId="0" fillId="24" borderId="39" xfId="0" applyFill="1" applyBorder="1" applyAlignment="1">
      <alignment horizontal="center"/>
    </xf>
    <xf numFmtId="0" fontId="4" fillId="5" borderId="0" xfId="1" applyFill="1" applyAlignment="1">
      <alignment horizontal="left"/>
    </xf>
    <xf numFmtId="0" fontId="0" fillId="5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0" xfId="0" applyAlignment="1">
      <alignment horizontal="left"/>
    </xf>
    <xf numFmtId="0" fontId="25" fillId="0" borderId="55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11" fillId="0" borderId="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14" fontId="3" fillId="32" borderId="51" xfId="4" applyNumberFormat="1" applyFont="1" applyFill="1" applyBorder="1" applyAlignment="1">
      <alignment horizontal="center"/>
    </xf>
    <xf numFmtId="14" fontId="3" fillId="32" borderId="52" xfId="4" applyNumberFormat="1" applyFont="1" applyFill="1" applyBorder="1" applyAlignment="1">
      <alignment horizontal="center"/>
    </xf>
    <xf numFmtId="14" fontId="3" fillId="32" borderId="53" xfId="4" applyNumberFormat="1" applyFont="1" applyFill="1" applyBorder="1" applyAlignment="1">
      <alignment horizontal="center"/>
    </xf>
    <xf numFmtId="0" fontId="25" fillId="0" borderId="41" xfId="0" applyFont="1" applyBorder="1" applyAlignment="1">
      <alignment horizontal="left"/>
    </xf>
    <xf numFmtId="0" fontId="25" fillId="0" borderId="57" xfId="0" applyFont="1" applyBorder="1" applyAlignment="1">
      <alignment horizontal="left"/>
    </xf>
    <xf numFmtId="0" fontId="3" fillId="11" borderId="4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62" xfId="0" applyFont="1" applyBorder="1" applyAlignment="1">
      <alignment horizontal="center"/>
    </xf>
    <xf numFmtId="0" fontId="36" fillId="0" borderId="0" xfId="0" applyFont="1" applyAlignment="1">
      <alignment horizontal="left"/>
    </xf>
    <xf numFmtId="0" fontId="38" fillId="0" borderId="3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7" fillId="42" borderId="51" xfId="0" applyFont="1" applyFill="1" applyBorder="1" applyAlignment="1">
      <alignment horizontal="center"/>
    </xf>
    <xf numFmtId="0" fontId="37" fillId="42" borderId="52" xfId="0" applyFont="1" applyFill="1" applyBorder="1" applyAlignment="1">
      <alignment horizontal="center"/>
    </xf>
    <xf numFmtId="0" fontId="25" fillId="0" borderId="61" xfId="0" applyFont="1" applyBorder="1" applyAlignment="1">
      <alignment horizontal="left"/>
    </xf>
    <xf numFmtId="0" fontId="25" fillId="0" borderId="62" xfId="0" applyFont="1" applyBorder="1" applyAlignment="1">
      <alignment horizontal="left"/>
    </xf>
    <xf numFmtId="0" fontId="37" fillId="39" borderId="3" xfId="0" applyFont="1" applyFill="1" applyBorder="1" applyAlignment="1">
      <alignment horizontal="center" vertical="center"/>
    </xf>
    <xf numFmtId="0" fontId="37" fillId="39" borderId="5" xfId="0" applyFont="1" applyFill="1" applyBorder="1" applyAlignment="1">
      <alignment horizontal="center" vertical="center"/>
    </xf>
    <xf numFmtId="0" fontId="37" fillId="39" borderId="0" xfId="0" applyFont="1" applyFill="1" applyAlignment="1">
      <alignment horizontal="center"/>
    </xf>
    <xf numFmtId="0" fontId="38" fillId="0" borderId="5" xfId="0" applyFont="1" applyBorder="1" applyAlignment="1">
      <alignment horizontal="center" vertical="center"/>
    </xf>
  </cellXfs>
  <cellStyles count="6">
    <cellStyle name="Currency" xfId="5" builtinId="4"/>
    <cellStyle name="Currency 2" xfId="3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 2" xfId="2" xr:uid="{00000000-0005-0000-0000-000005000000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5"/>
  <sheetViews>
    <sheetView zoomScale="70" zoomScaleNormal="70" workbookViewId="0">
      <pane xSplit="2" ySplit="2" topLeftCell="AM37" activePane="bottomRight" state="frozen"/>
      <selection pane="topRight" activeCell="C1" sqref="C1"/>
      <selection pane="bottomLeft" activeCell="A3" sqref="A3"/>
      <selection pane="bottomRight" activeCell="T60" sqref="T60:AA66"/>
    </sheetView>
  </sheetViews>
  <sheetFormatPr defaultRowHeight="14.25" x14ac:dyDescent="0.2"/>
  <cols>
    <col min="2" max="2" width="10.5" bestFit="1" customWidth="1"/>
    <col min="19" max="19" width="6" customWidth="1"/>
    <col min="20" max="20" width="9.75" bestFit="1" customWidth="1"/>
    <col min="27" max="27" width="9.75" bestFit="1" customWidth="1"/>
    <col min="28" max="28" width="10.75" customWidth="1"/>
    <col min="29" max="29" width="6.75" style="118" customWidth="1"/>
    <col min="30" max="30" width="9.75" bestFit="1" customWidth="1"/>
    <col min="36" max="37" width="9.75" bestFit="1" customWidth="1"/>
    <col min="42" max="42" width="9.75" bestFit="1" customWidth="1"/>
    <col min="44" max="44" width="12.25" bestFit="1" customWidth="1"/>
    <col min="45" max="45" width="10.25" bestFit="1" customWidth="1"/>
    <col min="49" max="49" width="10.5" bestFit="1" customWidth="1"/>
    <col min="52" max="52" width="9.75" bestFit="1" customWidth="1"/>
    <col min="55" max="55" width="10.75" bestFit="1" customWidth="1"/>
    <col min="56" max="56" width="9.75" bestFit="1" customWidth="1"/>
    <col min="58" max="58" width="9.75" bestFit="1" customWidth="1"/>
    <col min="60" max="60" width="10.25" bestFit="1" customWidth="1"/>
  </cols>
  <sheetData>
    <row r="1" spans="1:70" s="8" customFormat="1" ht="28.5" customHeight="1" thickBot="1" x14ac:dyDescent="0.25">
      <c r="A1" s="1"/>
      <c r="B1" s="2"/>
      <c r="C1" s="3"/>
      <c r="D1" s="3"/>
      <c r="E1" s="3"/>
      <c r="F1" s="4" t="s">
        <v>0</v>
      </c>
      <c r="G1" s="4" t="s">
        <v>1</v>
      </c>
      <c r="H1" s="4" t="s">
        <v>2</v>
      </c>
      <c r="I1" s="5" t="s">
        <v>3</v>
      </c>
      <c r="J1" s="530" t="s">
        <v>44</v>
      </c>
      <c r="K1" s="531"/>
      <c r="L1" s="531"/>
      <c r="M1" s="531"/>
      <c r="N1" s="531"/>
      <c r="O1" s="531"/>
      <c r="P1" s="531"/>
      <c r="Q1" s="532"/>
      <c r="R1" s="114"/>
      <c r="S1" s="535" t="s">
        <v>45</v>
      </c>
      <c r="T1" s="535"/>
      <c r="U1" s="535"/>
      <c r="V1" s="535"/>
      <c r="W1" s="535"/>
      <c r="X1" s="535"/>
      <c r="Y1" s="535"/>
      <c r="Z1" s="535"/>
      <c r="AA1" s="535"/>
      <c r="AB1" s="535"/>
      <c r="AC1" s="6"/>
      <c r="AD1" s="529"/>
      <c r="AE1" s="529"/>
      <c r="AF1" s="529"/>
      <c r="AG1" s="529"/>
      <c r="AH1" s="529"/>
      <c r="AI1" s="529"/>
      <c r="AJ1" s="529"/>
      <c r="AK1" s="529"/>
      <c r="AL1" s="529"/>
      <c r="AM1" s="529"/>
      <c r="AN1" s="529"/>
      <c r="AO1" s="529"/>
      <c r="AP1" s="529"/>
      <c r="AQ1" s="529"/>
      <c r="AR1" s="7"/>
      <c r="AS1" s="7"/>
      <c r="AT1" s="7"/>
      <c r="AU1" s="7"/>
      <c r="AV1" s="7"/>
      <c r="AW1" s="7"/>
      <c r="AX1" s="7"/>
      <c r="AY1" s="7"/>
      <c r="BB1" s="9"/>
      <c r="BC1" s="9"/>
      <c r="BD1" s="9"/>
      <c r="BE1" s="10"/>
      <c r="BF1" s="10"/>
      <c r="BG1" s="11"/>
      <c r="BH1" s="11"/>
      <c r="BI1" s="11"/>
      <c r="BJ1" s="11"/>
      <c r="BK1" s="11"/>
      <c r="BL1" s="11"/>
      <c r="BM1" s="11"/>
      <c r="BO1" s="12"/>
    </row>
    <row r="2" spans="1:70" s="8" customFormat="1" ht="72" thickBot="1" x14ac:dyDescent="0.25">
      <c r="A2" s="1"/>
      <c r="B2" s="2"/>
      <c r="C2" s="13" t="s">
        <v>6</v>
      </c>
      <c r="D2" s="13" t="s">
        <v>7</v>
      </c>
      <c r="E2" s="13" t="s">
        <v>164</v>
      </c>
      <c r="F2" s="533" t="s">
        <v>8</v>
      </c>
      <c r="G2" s="534"/>
      <c r="H2" s="534"/>
      <c r="I2" s="14"/>
      <c r="J2" s="15" t="s">
        <v>9</v>
      </c>
      <c r="K2" s="16" t="s">
        <v>10</v>
      </c>
      <c r="L2" s="16" t="s">
        <v>11</v>
      </c>
      <c r="M2" s="16" t="s">
        <v>12</v>
      </c>
      <c r="N2" s="17" t="s">
        <v>13</v>
      </c>
      <c r="O2" s="407" t="s">
        <v>164</v>
      </c>
      <c r="P2" s="18" t="s">
        <v>14</v>
      </c>
      <c r="Q2" s="19" t="s">
        <v>15</v>
      </c>
      <c r="R2" s="20" t="s">
        <v>16</v>
      </c>
      <c r="S2" s="115"/>
      <c r="T2" s="15" t="s">
        <v>9</v>
      </c>
      <c r="U2" s="16" t="s">
        <v>10</v>
      </c>
      <c r="V2" s="16" t="s">
        <v>11</v>
      </c>
      <c r="W2" s="16" t="s">
        <v>12</v>
      </c>
      <c r="X2" s="17" t="s">
        <v>17</v>
      </c>
      <c r="Y2" s="407" t="s">
        <v>164</v>
      </c>
      <c r="Z2" s="18" t="s">
        <v>18</v>
      </c>
      <c r="AA2" s="19" t="s">
        <v>15</v>
      </c>
      <c r="AB2" s="21" t="s">
        <v>16</v>
      </c>
      <c r="AC2" s="22"/>
      <c r="AD2" s="23" t="s">
        <v>19</v>
      </c>
      <c r="AE2" s="24" t="s">
        <v>20</v>
      </c>
      <c r="AF2" s="25" t="s">
        <v>21</v>
      </c>
      <c r="AG2" s="409" t="s">
        <v>165</v>
      </c>
      <c r="AH2" s="26" t="s">
        <v>22</v>
      </c>
      <c r="AI2" s="27" t="s">
        <v>23</v>
      </c>
      <c r="AJ2" s="27" t="s">
        <v>24</v>
      </c>
      <c r="AK2" s="28" t="s">
        <v>25</v>
      </c>
      <c r="AL2" s="29" t="s">
        <v>26</v>
      </c>
      <c r="AM2" s="30" t="s">
        <v>27</v>
      </c>
      <c r="AN2" s="411" t="s">
        <v>166</v>
      </c>
      <c r="AO2" s="27" t="s">
        <v>28</v>
      </c>
      <c r="AP2" s="27" t="s">
        <v>29</v>
      </c>
      <c r="AQ2" s="31" t="s">
        <v>30</v>
      </c>
      <c r="AR2" s="32"/>
      <c r="AS2" s="33"/>
      <c r="AV2" s="34"/>
      <c r="AW2" s="34"/>
      <c r="AX2" s="35" t="s">
        <v>9</v>
      </c>
      <c r="AY2" s="35" t="s">
        <v>31</v>
      </c>
      <c r="AZ2" s="35" t="s">
        <v>9</v>
      </c>
      <c r="BA2" s="35" t="s">
        <v>31</v>
      </c>
      <c r="BB2" s="36" t="s">
        <v>23</v>
      </c>
      <c r="BC2" s="36" t="s">
        <v>24</v>
      </c>
      <c r="BD2" s="37" t="s">
        <v>43</v>
      </c>
      <c r="BE2" s="38" t="s">
        <v>28</v>
      </c>
      <c r="BF2" s="39" t="s">
        <v>32</v>
      </c>
      <c r="BG2" s="40" t="s">
        <v>33</v>
      </c>
      <c r="BJ2" s="41"/>
      <c r="BK2" s="41"/>
      <c r="BL2" s="41"/>
      <c r="BM2" s="41"/>
      <c r="BN2" s="41"/>
      <c r="BO2" s="42"/>
      <c r="BP2" s="12"/>
    </row>
    <row r="3" spans="1:70" s="8" customFormat="1" ht="14.25" customHeight="1" x14ac:dyDescent="0.2">
      <c r="A3" s="43" t="s">
        <v>34</v>
      </c>
      <c r="B3" s="44">
        <v>46020</v>
      </c>
      <c r="C3" s="45">
        <v>4</v>
      </c>
      <c r="D3" s="45">
        <v>5</v>
      </c>
      <c r="E3" s="45"/>
      <c r="F3" s="46">
        <v>0</v>
      </c>
      <c r="G3" s="46">
        <v>0</v>
      </c>
      <c r="H3" s="46">
        <v>2</v>
      </c>
      <c r="I3" s="47">
        <f>SUM(F3:H3)</f>
        <v>2</v>
      </c>
      <c r="J3" s="48">
        <v>878.09</v>
      </c>
      <c r="K3" s="49">
        <v>0</v>
      </c>
      <c r="L3" s="49">
        <v>0</v>
      </c>
      <c r="M3" s="49">
        <v>0</v>
      </c>
      <c r="N3" s="49">
        <v>0</v>
      </c>
      <c r="O3" s="49"/>
      <c r="P3" s="49">
        <v>119.15</v>
      </c>
      <c r="Q3" s="51">
        <v>997.24</v>
      </c>
      <c r="R3" s="52">
        <f>Q3-J3-K3-N3-O3</f>
        <v>119.14999999999998</v>
      </c>
      <c r="S3" s="116"/>
      <c r="T3" s="48">
        <v>2301.41</v>
      </c>
      <c r="U3" s="49">
        <v>155.35</v>
      </c>
      <c r="V3" s="49">
        <v>234.26</v>
      </c>
      <c r="W3" s="49">
        <v>78.38</v>
      </c>
      <c r="X3" s="49">
        <v>233</v>
      </c>
      <c r="Y3" s="49"/>
      <c r="Z3" s="49">
        <v>919.98</v>
      </c>
      <c r="AA3" s="51">
        <v>3681.74</v>
      </c>
      <c r="AB3" s="53">
        <f>AA3-T3-U3-X3-Y3</f>
        <v>991.98</v>
      </c>
      <c r="AC3" s="54"/>
      <c r="AD3" s="55">
        <f t="shared" ref="AD3:AD9" si="0">T3+J3</f>
        <v>3179.5</v>
      </c>
      <c r="AE3" s="50">
        <f>K3+U3</f>
        <v>155.35</v>
      </c>
      <c r="AF3" s="50">
        <f>N3+X3</f>
        <v>233</v>
      </c>
      <c r="AG3" s="50">
        <f>O3+Y3</f>
        <v>0</v>
      </c>
      <c r="AH3" s="56">
        <f>R3+AB3</f>
        <v>1111.1300000000001</v>
      </c>
      <c r="AI3" s="57">
        <f>Q3</f>
        <v>997.24</v>
      </c>
      <c r="AJ3" s="58">
        <f>AA3</f>
        <v>3681.74</v>
      </c>
      <c r="AK3" s="59">
        <f t="shared" ref="AK3:AK9" si="1">AD3</f>
        <v>3179.5</v>
      </c>
      <c r="AL3" s="60">
        <f>K3+L3+M3+U3+V3+W3</f>
        <v>467.99</v>
      </c>
      <c r="AM3" s="61">
        <f>N3+X3</f>
        <v>233</v>
      </c>
      <c r="AN3" s="50">
        <f>AJ3</f>
        <v>3681.74</v>
      </c>
      <c r="AO3" s="62">
        <f t="shared" ref="AO3:AO9" si="2">R3+AB3</f>
        <v>1111.1300000000001</v>
      </c>
      <c r="AP3" s="63">
        <f t="shared" ref="AP3:AP9" si="3">AI3+AJ3</f>
        <v>4678.9799999999996</v>
      </c>
      <c r="AQ3" s="64">
        <f>P3+Z3</f>
        <v>1039.1300000000001</v>
      </c>
      <c r="AR3" s="65"/>
      <c r="AS3" s="33"/>
      <c r="AV3" s="66" t="s">
        <v>34</v>
      </c>
      <c r="AW3" s="67">
        <f t="shared" ref="AW3:AW9" si="4">B3</f>
        <v>46020</v>
      </c>
      <c r="AX3" s="68">
        <f>J3+K3+N3</f>
        <v>878.09</v>
      </c>
      <c r="AY3" s="68">
        <f t="shared" ref="AY3:AY9" si="5">R3</f>
        <v>119.14999999999998</v>
      </c>
      <c r="AZ3" s="69">
        <f>T3+U3+X3</f>
        <v>2689.7599999999998</v>
      </c>
      <c r="BA3" s="69">
        <f t="shared" ref="BA3:BA9" si="6">AB3</f>
        <v>991.98</v>
      </c>
      <c r="BB3" s="70">
        <f t="shared" ref="BB3:BB9" si="7">AX3+AY3</f>
        <v>997.24</v>
      </c>
      <c r="BC3" s="71">
        <f t="shared" ref="BC3:BC9" si="8">AZ3+BA3</f>
        <v>3681.74</v>
      </c>
      <c r="BD3" s="70">
        <f>AX3+AZ3</f>
        <v>3567.85</v>
      </c>
      <c r="BE3" s="71">
        <f t="shared" ref="BD3:BE9" si="9">AY3+BA3</f>
        <v>1111.1300000000001</v>
      </c>
      <c r="BF3" s="72">
        <f t="shared" ref="BF3:BF9" si="10">BD3+BE3</f>
        <v>4678.9799999999996</v>
      </c>
      <c r="BG3" s="73">
        <f t="shared" ref="BG3:BG9" si="11">AQ3</f>
        <v>1039.1300000000001</v>
      </c>
      <c r="BP3" s="12"/>
    </row>
    <row r="4" spans="1:70" s="8" customFormat="1" ht="14.25" customHeight="1" x14ac:dyDescent="0.2">
      <c r="A4" s="43" t="s">
        <v>35</v>
      </c>
      <c r="B4" s="44">
        <v>46021</v>
      </c>
      <c r="C4" s="74">
        <v>5</v>
      </c>
      <c r="D4" s="74">
        <v>3</v>
      </c>
      <c r="E4" s="74"/>
      <c r="F4" s="75">
        <v>0</v>
      </c>
      <c r="G4" s="75">
        <v>0</v>
      </c>
      <c r="H4" s="75">
        <v>3</v>
      </c>
      <c r="I4" s="76">
        <f t="shared" ref="I4:I9" si="12">SUM(F4:H4)</f>
        <v>3</v>
      </c>
      <c r="J4" s="48">
        <v>263.39999999999998</v>
      </c>
      <c r="K4" s="49">
        <v>0</v>
      </c>
      <c r="L4" s="49">
        <v>0</v>
      </c>
      <c r="M4" s="49">
        <v>0</v>
      </c>
      <c r="N4" s="49">
        <v>38.799999999999997</v>
      </c>
      <c r="O4" s="49"/>
      <c r="P4" s="49">
        <v>300.2</v>
      </c>
      <c r="Q4" s="51">
        <v>602.4</v>
      </c>
      <c r="R4" s="52">
        <f t="shared" ref="R4:R9" si="13">Q4-J4-K4-N4-O4</f>
        <v>300.2</v>
      </c>
      <c r="S4" s="116"/>
      <c r="T4" s="48">
        <v>2335.79</v>
      </c>
      <c r="U4" s="49">
        <v>204.06</v>
      </c>
      <c r="V4" s="49">
        <v>92.87</v>
      </c>
      <c r="W4" s="49">
        <v>77.5</v>
      </c>
      <c r="X4" s="49">
        <v>273.8</v>
      </c>
      <c r="Y4" s="49"/>
      <c r="Z4" s="49">
        <v>585.20000000000005</v>
      </c>
      <c r="AA4" s="51">
        <v>3459.35</v>
      </c>
      <c r="AB4" s="53">
        <f t="shared" ref="AB4:AB9" si="14">AA4-T4-U4-X4-Y4</f>
        <v>645.70000000000005</v>
      </c>
      <c r="AC4" s="54"/>
      <c r="AD4" s="55">
        <f t="shared" si="0"/>
        <v>2599.19</v>
      </c>
      <c r="AE4" s="50">
        <f t="shared" ref="AE4:AE9" si="15">K4+U4</f>
        <v>204.06</v>
      </c>
      <c r="AF4" s="50">
        <f t="shared" ref="AF4:AF9" si="16">N4+X4</f>
        <v>312.60000000000002</v>
      </c>
      <c r="AG4" s="50">
        <f t="shared" ref="AG4:AG9" si="17">O4+Y4</f>
        <v>0</v>
      </c>
      <c r="AH4" s="56">
        <f t="shared" ref="AH4:AH9" si="18">R4+AB4</f>
        <v>945.90000000000009</v>
      </c>
      <c r="AI4" s="57">
        <f t="shared" ref="AI4:AI9" si="19">Q4</f>
        <v>602.4</v>
      </c>
      <c r="AJ4" s="58">
        <f t="shared" ref="AJ4:AJ9" si="20">AA4</f>
        <v>3459.35</v>
      </c>
      <c r="AK4" s="59">
        <f t="shared" si="1"/>
        <v>2599.19</v>
      </c>
      <c r="AL4" s="60">
        <f t="shared" ref="AL4:AL9" si="21">K4+L4+M4+U4+V4+W4</f>
        <v>374.43</v>
      </c>
      <c r="AM4" s="61">
        <f t="shared" ref="AM4:AM9" si="22">N4+X4</f>
        <v>312.60000000000002</v>
      </c>
      <c r="AN4" s="50">
        <f t="shared" ref="AN4:AN9" si="23">V4+AF4</f>
        <v>405.47</v>
      </c>
      <c r="AO4" s="62">
        <f t="shared" si="2"/>
        <v>945.90000000000009</v>
      </c>
      <c r="AP4" s="63">
        <f t="shared" si="3"/>
        <v>4061.75</v>
      </c>
      <c r="AQ4" s="64">
        <f t="shared" ref="AQ4:AQ9" si="24">P4+Z4</f>
        <v>885.40000000000009</v>
      </c>
      <c r="AR4" s="77"/>
      <c r="AS4" s="78">
        <f>AP3+AP4</f>
        <v>8740.73</v>
      </c>
      <c r="AV4" s="79" t="s">
        <v>35</v>
      </c>
      <c r="AW4" s="80">
        <f t="shared" si="4"/>
        <v>46021</v>
      </c>
      <c r="AX4" s="68">
        <f t="shared" ref="AX4:AX9" si="25">J4+K4+N4</f>
        <v>302.2</v>
      </c>
      <c r="AY4" s="68">
        <f t="shared" si="5"/>
        <v>300.2</v>
      </c>
      <c r="AZ4" s="69">
        <f t="shared" ref="AZ4:AZ9" si="26">T4+U4+X4</f>
        <v>2813.65</v>
      </c>
      <c r="BA4" s="69">
        <f t="shared" si="6"/>
        <v>645.70000000000005</v>
      </c>
      <c r="BB4" s="81">
        <f t="shared" si="7"/>
        <v>602.4</v>
      </c>
      <c r="BC4" s="82">
        <f t="shared" si="8"/>
        <v>3459.3500000000004</v>
      </c>
      <c r="BD4" s="81">
        <f t="shared" si="9"/>
        <v>3115.85</v>
      </c>
      <c r="BE4" s="82">
        <f t="shared" si="9"/>
        <v>945.90000000000009</v>
      </c>
      <c r="BF4" s="83">
        <f t="shared" si="10"/>
        <v>4061.75</v>
      </c>
      <c r="BG4" s="84">
        <f t="shared" si="11"/>
        <v>885.40000000000009</v>
      </c>
      <c r="BH4" s="85">
        <f>BF3+BF4</f>
        <v>8740.73</v>
      </c>
      <c r="BP4" s="12"/>
    </row>
    <row r="5" spans="1:70" s="110" customFormat="1" ht="14.25" customHeight="1" x14ac:dyDescent="0.2">
      <c r="A5" s="107" t="s">
        <v>36</v>
      </c>
      <c r="B5" s="108">
        <v>46022</v>
      </c>
      <c r="C5" s="74">
        <v>7</v>
      </c>
      <c r="D5" s="74">
        <v>11</v>
      </c>
      <c r="E5" s="74"/>
      <c r="F5" s="75">
        <v>0</v>
      </c>
      <c r="G5" s="75">
        <v>0</v>
      </c>
      <c r="H5" s="75">
        <v>3</v>
      </c>
      <c r="I5" s="76">
        <f t="shared" ref="I5" si="27">SUM(F5:H5)</f>
        <v>3</v>
      </c>
      <c r="J5" s="48">
        <v>684.63</v>
      </c>
      <c r="K5" s="49">
        <v>0</v>
      </c>
      <c r="L5" s="49">
        <v>0</v>
      </c>
      <c r="M5" s="49">
        <v>0</v>
      </c>
      <c r="N5" s="49">
        <v>57.7</v>
      </c>
      <c r="O5" s="49"/>
      <c r="P5" s="49">
        <v>218.6</v>
      </c>
      <c r="Q5" s="51">
        <v>960.93</v>
      </c>
      <c r="R5" s="52">
        <f t="shared" si="13"/>
        <v>218.59999999999997</v>
      </c>
      <c r="S5" s="116"/>
      <c r="T5" s="48">
        <v>2832.71</v>
      </c>
      <c r="U5" s="49">
        <v>271.2</v>
      </c>
      <c r="V5" s="49">
        <v>203.92</v>
      </c>
      <c r="W5" s="49">
        <v>0</v>
      </c>
      <c r="X5" s="49">
        <v>728.5</v>
      </c>
      <c r="Y5" s="49"/>
      <c r="Z5" s="49">
        <v>892.21</v>
      </c>
      <c r="AA5" s="51">
        <v>4850.12</v>
      </c>
      <c r="AB5" s="53">
        <f t="shared" si="14"/>
        <v>1017.7099999999998</v>
      </c>
      <c r="AC5" s="54"/>
      <c r="AD5" s="55">
        <f t="shared" si="0"/>
        <v>3517.34</v>
      </c>
      <c r="AE5" s="50">
        <f t="shared" si="15"/>
        <v>271.2</v>
      </c>
      <c r="AF5" s="50">
        <f t="shared" si="16"/>
        <v>786.2</v>
      </c>
      <c r="AG5" s="50">
        <f t="shared" si="17"/>
        <v>0</v>
      </c>
      <c r="AH5" s="56">
        <f t="shared" si="18"/>
        <v>1236.3099999999997</v>
      </c>
      <c r="AI5" s="57">
        <f t="shared" si="19"/>
        <v>960.93</v>
      </c>
      <c r="AJ5" s="58">
        <f t="shared" si="20"/>
        <v>4850.12</v>
      </c>
      <c r="AK5" s="59">
        <f t="shared" si="1"/>
        <v>3517.34</v>
      </c>
      <c r="AL5" s="60">
        <f t="shared" si="21"/>
        <v>475.12</v>
      </c>
      <c r="AM5" s="61">
        <f t="shared" si="22"/>
        <v>786.2</v>
      </c>
      <c r="AN5" s="50">
        <f t="shared" si="23"/>
        <v>990.12</v>
      </c>
      <c r="AO5" s="62">
        <f t="shared" si="2"/>
        <v>1236.3099999999997</v>
      </c>
      <c r="AP5" s="63">
        <f t="shared" si="3"/>
        <v>5811.05</v>
      </c>
      <c r="AQ5" s="64">
        <f t="shared" si="24"/>
        <v>1110.81</v>
      </c>
      <c r="AR5" s="77"/>
      <c r="AS5" s="78">
        <f>AP4+AP5</f>
        <v>9872.7999999999993</v>
      </c>
      <c r="AV5" s="111" t="s">
        <v>36</v>
      </c>
      <c r="AW5" s="112">
        <f t="shared" si="4"/>
        <v>46022</v>
      </c>
      <c r="AX5" s="69">
        <f t="shared" si="25"/>
        <v>742.33</v>
      </c>
      <c r="AY5" s="69">
        <f t="shared" si="5"/>
        <v>218.59999999999997</v>
      </c>
      <c r="AZ5" s="69">
        <f t="shared" si="26"/>
        <v>3832.41</v>
      </c>
      <c r="BA5" s="69">
        <f t="shared" si="6"/>
        <v>1017.7099999999998</v>
      </c>
      <c r="BB5" s="81">
        <f t="shared" si="7"/>
        <v>960.93000000000006</v>
      </c>
      <c r="BC5" s="82">
        <f t="shared" si="8"/>
        <v>4850.12</v>
      </c>
      <c r="BD5" s="81">
        <f t="shared" si="9"/>
        <v>4574.74</v>
      </c>
      <c r="BE5" s="82">
        <f t="shared" si="9"/>
        <v>1236.3099999999997</v>
      </c>
      <c r="BF5" s="83">
        <f t="shared" si="10"/>
        <v>5811.0499999999993</v>
      </c>
      <c r="BG5" s="84">
        <f t="shared" si="11"/>
        <v>1110.81</v>
      </c>
      <c r="BH5" s="109">
        <f>BH4+BF5</f>
        <v>14551.779999999999</v>
      </c>
      <c r="BP5" s="113"/>
    </row>
    <row r="6" spans="1:70" s="354" customFormat="1" ht="14.25" customHeight="1" x14ac:dyDescent="0.2">
      <c r="A6" s="335" t="s">
        <v>37</v>
      </c>
      <c r="B6" s="336">
        <v>46023</v>
      </c>
      <c r="C6" s="337"/>
      <c r="D6" s="337"/>
      <c r="E6" s="337"/>
      <c r="F6" s="337"/>
      <c r="G6" s="337"/>
      <c r="H6" s="337"/>
      <c r="I6" s="338">
        <f t="shared" si="12"/>
        <v>0</v>
      </c>
      <c r="J6" s="339">
        <v>0</v>
      </c>
      <c r="K6" s="340">
        <v>0</v>
      </c>
      <c r="L6" s="340">
        <v>0</v>
      </c>
      <c r="M6" s="340">
        <v>0</v>
      </c>
      <c r="N6" s="340">
        <v>0</v>
      </c>
      <c r="O6" s="340"/>
      <c r="P6" s="340">
        <v>0</v>
      </c>
      <c r="Q6" s="341">
        <v>0</v>
      </c>
      <c r="R6" s="52">
        <f t="shared" si="13"/>
        <v>0</v>
      </c>
      <c r="S6" s="342"/>
      <c r="T6" s="339">
        <v>0</v>
      </c>
      <c r="U6" s="340">
        <v>0</v>
      </c>
      <c r="V6" s="340">
        <v>0</v>
      </c>
      <c r="W6" s="340">
        <v>0</v>
      </c>
      <c r="X6" s="340">
        <v>0</v>
      </c>
      <c r="Y6" s="340"/>
      <c r="Z6" s="340">
        <v>0</v>
      </c>
      <c r="AA6" s="341">
        <v>0</v>
      </c>
      <c r="AB6" s="53">
        <f t="shared" si="14"/>
        <v>0</v>
      </c>
      <c r="AC6" s="343"/>
      <c r="AD6" s="344">
        <f t="shared" si="0"/>
        <v>0</v>
      </c>
      <c r="AE6" s="340">
        <f t="shared" si="15"/>
        <v>0</v>
      </c>
      <c r="AF6" s="340">
        <f t="shared" si="16"/>
        <v>0</v>
      </c>
      <c r="AG6" s="340">
        <f t="shared" si="17"/>
        <v>0</v>
      </c>
      <c r="AH6" s="345">
        <f t="shared" si="18"/>
        <v>0</v>
      </c>
      <c r="AI6" s="346">
        <f t="shared" si="19"/>
        <v>0</v>
      </c>
      <c r="AJ6" s="347">
        <f t="shared" si="20"/>
        <v>0</v>
      </c>
      <c r="AK6" s="348">
        <f t="shared" si="1"/>
        <v>0</v>
      </c>
      <c r="AL6" s="349">
        <f t="shared" si="21"/>
        <v>0</v>
      </c>
      <c r="AM6" s="349">
        <f t="shared" si="22"/>
        <v>0</v>
      </c>
      <c r="AN6" s="340">
        <f t="shared" si="23"/>
        <v>0</v>
      </c>
      <c r="AO6" s="350">
        <f t="shared" si="2"/>
        <v>0</v>
      </c>
      <c r="AP6" s="340">
        <f t="shared" si="3"/>
        <v>0</v>
      </c>
      <c r="AQ6" s="351">
        <f t="shared" si="24"/>
        <v>0</v>
      </c>
      <c r="AR6" s="352">
        <v>0.28299999999999997</v>
      </c>
      <c r="AS6" s="353">
        <f>AS5+AP6</f>
        <v>9872.7999999999993</v>
      </c>
      <c r="AV6" s="355" t="s">
        <v>37</v>
      </c>
      <c r="AW6" s="356">
        <f t="shared" si="4"/>
        <v>46023</v>
      </c>
      <c r="AX6" s="323">
        <f t="shared" si="25"/>
        <v>0</v>
      </c>
      <c r="AY6" s="323">
        <f t="shared" si="5"/>
        <v>0</v>
      </c>
      <c r="AZ6" s="323">
        <f t="shared" si="26"/>
        <v>0</v>
      </c>
      <c r="BA6" s="323">
        <f t="shared" si="6"/>
        <v>0</v>
      </c>
      <c r="BB6" s="349">
        <f t="shared" si="7"/>
        <v>0</v>
      </c>
      <c r="BC6" s="349">
        <f t="shared" si="8"/>
        <v>0</v>
      </c>
      <c r="BD6" s="349">
        <f t="shared" si="9"/>
        <v>0</v>
      </c>
      <c r="BE6" s="349">
        <f t="shared" si="9"/>
        <v>0</v>
      </c>
      <c r="BF6" s="357">
        <f t="shared" si="10"/>
        <v>0</v>
      </c>
      <c r="BG6" s="358">
        <f t="shared" si="11"/>
        <v>0</v>
      </c>
      <c r="BH6" s="353">
        <f>BH5+BF6</f>
        <v>14551.779999999999</v>
      </c>
      <c r="BP6" s="359"/>
    </row>
    <row r="7" spans="1:70" s="8" customFormat="1" ht="14.25" customHeight="1" x14ac:dyDescent="0.2">
      <c r="A7" s="43" t="s">
        <v>38</v>
      </c>
      <c r="B7" s="44">
        <v>46024</v>
      </c>
      <c r="C7" s="74">
        <v>6</v>
      </c>
      <c r="D7" s="74">
        <v>5</v>
      </c>
      <c r="E7" s="74"/>
      <c r="F7" s="75">
        <v>0</v>
      </c>
      <c r="G7" s="75">
        <v>0</v>
      </c>
      <c r="H7" s="75">
        <v>5</v>
      </c>
      <c r="I7" s="76">
        <f t="shared" si="12"/>
        <v>5</v>
      </c>
      <c r="J7" s="339">
        <v>0</v>
      </c>
      <c r="K7" s="340">
        <v>0</v>
      </c>
      <c r="L7" s="340">
        <v>0</v>
      </c>
      <c r="M7" s="340">
        <v>0</v>
      </c>
      <c r="N7" s="340">
        <v>0</v>
      </c>
      <c r="O7" s="340"/>
      <c r="P7" s="340">
        <v>0</v>
      </c>
      <c r="Q7" s="341">
        <v>0</v>
      </c>
      <c r="R7" s="52">
        <f>Q7-J7-K7-N7-O7</f>
        <v>0</v>
      </c>
      <c r="S7" s="116"/>
      <c r="T7" s="48">
        <v>1968.53</v>
      </c>
      <c r="U7" s="49">
        <v>283.3</v>
      </c>
      <c r="V7" s="49">
        <v>0</v>
      </c>
      <c r="W7" s="49">
        <v>77.599999999999994</v>
      </c>
      <c r="X7" s="49">
        <v>401.2</v>
      </c>
      <c r="Y7" s="49"/>
      <c r="Z7" s="49">
        <v>655</v>
      </c>
      <c r="AA7" s="51">
        <v>3398.53</v>
      </c>
      <c r="AB7" s="53">
        <f t="shared" si="14"/>
        <v>745.50000000000023</v>
      </c>
      <c r="AC7" s="54"/>
      <c r="AD7" s="55">
        <f t="shared" si="0"/>
        <v>1968.53</v>
      </c>
      <c r="AE7" s="50">
        <f t="shared" si="15"/>
        <v>283.3</v>
      </c>
      <c r="AF7" s="50">
        <f t="shared" si="16"/>
        <v>401.2</v>
      </c>
      <c r="AG7" s="50">
        <f t="shared" si="17"/>
        <v>0</v>
      </c>
      <c r="AH7" s="56">
        <f t="shared" si="18"/>
        <v>745.50000000000023</v>
      </c>
      <c r="AI7" s="57">
        <f t="shared" si="19"/>
        <v>0</v>
      </c>
      <c r="AJ7" s="58">
        <f t="shared" si="20"/>
        <v>3398.53</v>
      </c>
      <c r="AK7" s="59">
        <f t="shared" si="1"/>
        <v>1968.53</v>
      </c>
      <c r="AL7" s="60">
        <f t="shared" si="21"/>
        <v>360.9</v>
      </c>
      <c r="AM7" s="61">
        <f t="shared" si="22"/>
        <v>401.2</v>
      </c>
      <c r="AN7" s="50">
        <f t="shared" si="23"/>
        <v>401.2</v>
      </c>
      <c r="AO7" s="62">
        <f t="shared" si="2"/>
        <v>745.50000000000023</v>
      </c>
      <c r="AP7" s="63">
        <f t="shared" si="3"/>
        <v>3398.53</v>
      </c>
      <c r="AQ7" s="64">
        <f t="shared" si="24"/>
        <v>655</v>
      </c>
      <c r="AR7" s="87" t="s">
        <v>39</v>
      </c>
      <c r="AS7" s="78">
        <f>AS6+AP7</f>
        <v>13271.33</v>
      </c>
      <c r="AV7" s="79" t="s">
        <v>38</v>
      </c>
      <c r="AW7" s="80">
        <f t="shared" si="4"/>
        <v>46024</v>
      </c>
      <c r="AX7" s="68">
        <f t="shared" si="25"/>
        <v>0</v>
      </c>
      <c r="AY7" s="68">
        <f t="shared" si="5"/>
        <v>0</v>
      </c>
      <c r="AZ7" s="69">
        <f t="shared" si="26"/>
        <v>2653.0299999999997</v>
      </c>
      <c r="BA7" s="69">
        <f t="shared" si="6"/>
        <v>745.50000000000023</v>
      </c>
      <c r="BB7" s="81">
        <f t="shared" si="7"/>
        <v>0</v>
      </c>
      <c r="BC7" s="82">
        <f t="shared" si="8"/>
        <v>3398.5299999999997</v>
      </c>
      <c r="BD7" s="81">
        <f t="shared" si="9"/>
        <v>2653.0299999999997</v>
      </c>
      <c r="BE7" s="82">
        <f t="shared" si="9"/>
        <v>745.50000000000023</v>
      </c>
      <c r="BF7" s="83">
        <f t="shared" si="10"/>
        <v>3398.5299999999997</v>
      </c>
      <c r="BG7" s="84">
        <f t="shared" si="11"/>
        <v>655</v>
      </c>
      <c r="BH7" s="85">
        <f>BH6+BF7</f>
        <v>17950.309999999998</v>
      </c>
      <c r="BP7" s="12"/>
      <c r="BR7" s="88"/>
    </row>
    <row r="8" spans="1:70" s="8" customFormat="1" ht="14.25" customHeight="1" x14ac:dyDescent="0.2">
      <c r="A8" s="43" t="s">
        <v>40</v>
      </c>
      <c r="B8" s="44">
        <v>46025</v>
      </c>
      <c r="C8" s="74">
        <v>10</v>
      </c>
      <c r="D8" s="74">
        <v>11</v>
      </c>
      <c r="E8" s="74"/>
      <c r="F8" s="75">
        <v>0</v>
      </c>
      <c r="G8" s="75">
        <v>0</v>
      </c>
      <c r="H8" s="75">
        <v>6</v>
      </c>
      <c r="I8" s="76">
        <f t="shared" si="12"/>
        <v>6</v>
      </c>
      <c r="J8" s="48">
        <v>950.71</v>
      </c>
      <c r="K8" s="49">
        <v>0</v>
      </c>
      <c r="L8" s="49">
        <v>0</v>
      </c>
      <c r="M8" s="49">
        <v>0</v>
      </c>
      <c r="N8" s="49">
        <v>22.9</v>
      </c>
      <c r="O8" s="49"/>
      <c r="P8" s="49">
        <v>363</v>
      </c>
      <c r="Q8" s="51">
        <v>1336.61</v>
      </c>
      <c r="R8" s="52">
        <f t="shared" si="13"/>
        <v>362.99999999999989</v>
      </c>
      <c r="S8" s="116"/>
      <c r="T8" s="48">
        <v>3494.32</v>
      </c>
      <c r="U8" s="49">
        <v>712.96</v>
      </c>
      <c r="V8" s="49">
        <v>97.41</v>
      </c>
      <c r="W8" s="49">
        <v>0</v>
      </c>
      <c r="X8" s="49">
        <v>763.9</v>
      </c>
      <c r="Y8" s="49"/>
      <c r="Z8" s="49">
        <v>592.1</v>
      </c>
      <c r="AA8" s="51">
        <v>5663.78</v>
      </c>
      <c r="AB8" s="53">
        <f t="shared" si="14"/>
        <v>692.59999999999957</v>
      </c>
      <c r="AC8" s="54"/>
      <c r="AD8" s="55">
        <f t="shared" si="0"/>
        <v>4445.0300000000007</v>
      </c>
      <c r="AE8" s="50">
        <f t="shared" si="15"/>
        <v>712.96</v>
      </c>
      <c r="AF8" s="50">
        <f t="shared" si="16"/>
        <v>786.8</v>
      </c>
      <c r="AG8" s="50">
        <f t="shared" si="17"/>
        <v>0</v>
      </c>
      <c r="AH8" s="56">
        <f t="shared" si="18"/>
        <v>1055.5999999999995</v>
      </c>
      <c r="AI8" s="57">
        <f t="shared" si="19"/>
        <v>1336.61</v>
      </c>
      <c r="AJ8" s="58">
        <f t="shared" si="20"/>
        <v>5663.78</v>
      </c>
      <c r="AK8" s="59">
        <f t="shared" si="1"/>
        <v>4445.0300000000007</v>
      </c>
      <c r="AL8" s="60">
        <f t="shared" si="21"/>
        <v>810.37</v>
      </c>
      <c r="AM8" s="61">
        <f t="shared" si="22"/>
        <v>786.8</v>
      </c>
      <c r="AN8" s="50">
        <f t="shared" si="23"/>
        <v>884.20999999999992</v>
      </c>
      <c r="AO8" s="62">
        <f t="shared" si="2"/>
        <v>1055.5999999999995</v>
      </c>
      <c r="AP8" s="63">
        <f t="shared" si="3"/>
        <v>7000.3899999999994</v>
      </c>
      <c r="AQ8" s="64">
        <f t="shared" si="24"/>
        <v>955.1</v>
      </c>
      <c r="AR8" s="89"/>
      <c r="AS8" s="78">
        <f>AS7+AP8</f>
        <v>20271.72</v>
      </c>
      <c r="AV8" s="79" t="s">
        <v>40</v>
      </c>
      <c r="AW8" s="80">
        <f t="shared" si="4"/>
        <v>46025</v>
      </c>
      <c r="AX8" s="68">
        <f t="shared" si="25"/>
        <v>973.61</v>
      </c>
      <c r="AY8" s="68">
        <f t="shared" si="5"/>
        <v>362.99999999999989</v>
      </c>
      <c r="AZ8" s="69">
        <f t="shared" si="26"/>
        <v>4971.18</v>
      </c>
      <c r="BA8" s="69">
        <f t="shared" si="6"/>
        <v>692.59999999999957</v>
      </c>
      <c r="BB8" s="81">
        <f t="shared" si="7"/>
        <v>1336.61</v>
      </c>
      <c r="BC8" s="82">
        <f t="shared" si="8"/>
        <v>5663.78</v>
      </c>
      <c r="BD8" s="81">
        <f t="shared" si="9"/>
        <v>5944.79</v>
      </c>
      <c r="BE8" s="82">
        <f t="shared" si="9"/>
        <v>1055.5999999999995</v>
      </c>
      <c r="BF8" s="83">
        <f t="shared" si="10"/>
        <v>7000.3899999999994</v>
      </c>
      <c r="BG8" s="84">
        <f t="shared" si="11"/>
        <v>955.1</v>
      </c>
      <c r="BH8" s="85">
        <f>BH7+BF8</f>
        <v>24950.699999999997</v>
      </c>
      <c r="BP8" s="12"/>
    </row>
    <row r="9" spans="1:70" s="8" customFormat="1" ht="14.25" customHeight="1" x14ac:dyDescent="0.2">
      <c r="A9" s="43" t="s">
        <v>41</v>
      </c>
      <c r="B9" s="44">
        <v>46026</v>
      </c>
      <c r="C9" s="74">
        <v>9</v>
      </c>
      <c r="D9" s="74">
        <v>14</v>
      </c>
      <c r="E9" s="74"/>
      <c r="F9" s="75">
        <v>0</v>
      </c>
      <c r="G9" s="75">
        <v>0</v>
      </c>
      <c r="H9" s="75">
        <v>2</v>
      </c>
      <c r="I9" s="76">
        <f t="shared" si="12"/>
        <v>2</v>
      </c>
      <c r="J9" s="48">
        <v>1257.9100000000001</v>
      </c>
      <c r="K9" s="49">
        <v>56.57</v>
      </c>
      <c r="L9" s="49">
        <v>0</v>
      </c>
      <c r="M9" s="49">
        <v>0</v>
      </c>
      <c r="N9" s="49">
        <v>27.4</v>
      </c>
      <c r="O9" s="49"/>
      <c r="P9" s="49">
        <v>345.3</v>
      </c>
      <c r="Q9" s="51">
        <v>1687.18</v>
      </c>
      <c r="R9" s="52">
        <f t="shared" si="13"/>
        <v>345.3</v>
      </c>
      <c r="S9" s="116"/>
      <c r="T9" s="48">
        <v>1293.21</v>
      </c>
      <c r="U9" s="49">
        <v>314.26</v>
      </c>
      <c r="V9" s="49">
        <v>317.2</v>
      </c>
      <c r="W9" s="49">
        <v>0</v>
      </c>
      <c r="X9" s="49">
        <v>933.9</v>
      </c>
      <c r="Y9" s="49"/>
      <c r="Z9" s="49">
        <v>468.45</v>
      </c>
      <c r="AA9" s="51">
        <v>3086.82</v>
      </c>
      <c r="AB9" s="53">
        <f t="shared" si="14"/>
        <v>545.45000000000016</v>
      </c>
      <c r="AC9" s="54"/>
      <c r="AD9" s="55">
        <f t="shared" si="0"/>
        <v>2551.12</v>
      </c>
      <c r="AE9" s="50">
        <f t="shared" si="15"/>
        <v>370.83</v>
      </c>
      <c r="AF9" s="50">
        <f t="shared" si="16"/>
        <v>961.3</v>
      </c>
      <c r="AG9" s="50">
        <f t="shared" si="17"/>
        <v>0</v>
      </c>
      <c r="AH9" s="56">
        <f t="shared" si="18"/>
        <v>890.75000000000023</v>
      </c>
      <c r="AI9" s="57">
        <f t="shared" si="19"/>
        <v>1687.18</v>
      </c>
      <c r="AJ9" s="58">
        <f t="shared" si="20"/>
        <v>3086.82</v>
      </c>
      <c r="AK9" s="59">
        <f t="shared" si="1"/>
        <v>2551.12</v>
      </c>
      <c r="AL9" s="60">
        <f t="shared" si="21"/>
        <v>688.03</v>
      </c>
      <c r="AM9" s="61">
        <f t="shared" si="22"/>
        <v>961.3</v>
      </c>
      <c r="AN9" s="50">
        <f t="shared" si="23"/>
        <v>1278.5</v>
      </c>
      <c r="AO9" s="62">
        <f t="shared" si="2"/>
        <v>890.75000000000023</v>
      </c>
      <c r="AP9" s="63">
        <f t="shared" si="3"/>
        <v>4774</v>
      </c>
      <c r="AQ9" s="64">
        <f t="shared" si="24"/>
        <v>813.75</v>
      </c>
      <c r="AR9" s="90">
        <f>AR8-AM10</f>
        <v>-3481.1000000000004</v>
      </c>
      <c r="AS9" s="78">
        <f>AS8+AP9</f>
        <v>25045.72</v>
      </c>
      <c r="AV9" s="79" t="s">
        <v>41</v>
      </c>
      <c r="AW9" s="80">
        <f t="shared" si="4"/>
        <v>46026</v>
      </c>
      <c r="AX9" s="68">
        <f t="shared" si="25"/>
        <v>1341.88</v>
      </c>
      <c r="AY9" s="68">
        <f t="shared" si="5"/>
        <v>345.3</v>
      </c>
      <c r="AZ9" s="69">
        <f t="shared" si="26"/>
        <v>2541.37</v>
      </c>
      <c r="BA9" s="69">
        <f t="shared" si="6"/>
        <v>545.45000000000016</v>
      </c>
      <c r="BB9" s="81">
        <f t="shared" si="7"/>
        <v>1687.18</v>
      </c>
      <c r="BC9" s="82">
        <f t="shared" si="8"/>
        <v>3086.82</v>
      </c>
      <c r="BD9" s="81">
        <f t="shared" si="9"/>
        <v>3883.25</v>
      </c>
      <c r="BE9" s="82">
        <f t="shared" si="9"/>
        <v>890.75000000000023</v>
      </c>
      <c r="BF9" s="83">
        <f t="shared" si="10"/>
        <v>4774</v>
      </c>
      <c r="BG9" s="84">
        <f t="shared" si="11"/>
        <v>813.75</v>
      </c>
      <c r="BH9" s="85">
        <f>BH8+BF9</f>
        <v>29724.699999999997</v>
      </c>
      <c r="BP9" s="12"/>
    </row>
    <row r="10" spans="1:70" s="105" customFormat="1" ht="14.25" customHeight="1" thickBot="1" x14ac:dyDescent="0.25">
      <c r="A10" s="91" t="s">
        <v>42</v>
      </c>
      <c r="B10" s="91"/>
      <c r="C10" s="92">
        <f>SUM(C3:C9)</f>
        <v>41</v>
      </c>
      <c r="D10" s="93">
        <f>SUM(D3:D9)</f>
        <v>49</v>
      </c>
      <c r="E10" s="14">
        <f>SUM(E3:E9)</f>
        <v>0</v>
      </c>
      <c r="F10" s="523">
        <f>SUM(I3:I9)</f>
        <v>21</v>
      </c>
      <c r="G10" s="524"/>
      <c r="H10" s="524"/>
      <c r="I10" s="387">
        <f>SUM(C10:H10)</f>
        <v>111</v>
      </c>
      <c r="J10" s="100">
        <f t="shared" ref="J10:AP10" si="28">SUM(J3:J9)</f>
        <v>4034.74</v>
      </c>
      <c r="K10" s="95">
        <f t="shared" si="28"/>
        <v>56.57</v>
      </c>
      <c r="L10" s="95">
        <f t="shared" si="28"/>
        <v>0</v>
      </c>
      <c r="M10" s="95">
        <f t="shared" si="28"/>
        <v>0</v>
      </c>
      <c r="N10" s="95">
        <f t="shared" si="28"/>
        <v>146.80000000000001</v>
      </c>
      <c r="O10" s="95">
        <f>SUM(O3:O9)</f>
        <v>0</v>
      </c>
      <c r="P10" s="95">
        <f t="shared" si="28"/>
        <v>1346.25</v>
      </c>
      <c r="Q10" s="96">
        <f>SUM(Q3:Q9)</f>
        <v>5584.36</v>
      </c>
      <c r="R10" s="97">
        <f>SUM(R3:R9)</f>
        <v>1346.2499999999998</v>
      </c>
      <c r="S10" s="117"/>
      <c r="T10" s="94">
        <f t="shared" si="28"/>
        <v>14225.970000000001</v>
      </c>
      <c r="U10" s="95">
        <f t="shared" si="28"/>
        <v>1941.1299999999999</v>
      </c>
      <c r="V10" s="95">
        <f t="shared" si="28"/>
        <v>945.65999999999985</v>
      </c>
      <c r="W10" s="95">
        <f t="shared" si="28"/>
        <v>233.48</v>
      </c>
      <c r="X10" s="95">
        <f t="shared" si="28"/>
        <v>3334.3</v>
      </c>
      <c r="Y10" s="95"/>
      <c r="Z10" s="95">
        <f t="shared" si="28"/>
        <v>4112.9400000000005</v>
      </c>
      <c r="AA10" s="96">
        <f t="shared" si="28"/>
        <v>24140.34</v>
      </c>
      <c r="AB10" s="98">
        <f>SUM(AB3:AB9)</f>
        <v>4638.9399999999996</v>
      </c>
      <c r="AC10" s="99"/>
      <c r="AD10" s="100">
        <f t="shared" si="28"/>
        <v>18260.710000000003</v>
      </c>
      <c r="AE10" s="95">
        <f t="shared" si="28"/>
        <v>1997.6999999999998</v>
      </c>
      <c r="AF10" s="95">
        <f t="shared" si="28"/>
        <v>3481.1000000000004</v>
      </c>
      <c r="AG10" s="95">
        <f>SUM(AG3:AG9)</f>
        <v>0</v>
      </c>
      <c r="AH10" s="95">
        <f t="shared" si="28"/>
        <v>5985.19</v>
      </c>
      <c r="AI10" s="95">
        <f t="shared" si="28"/>
        <v>5584.36</v>
      </c>
      <c r="AJ10" s="95">
        <f t="shared" si="28"/>
        <v>24140.34</v>
      </c>
      <c r="AK10" s="101">
        <f t="shared" si="28"/>
        <v>18260.710000000003</v>
      </c>
      <c r="AL10" s="95">
        <f t="shared" si="28"/>
        <v>3176.84</v>
      </c>
      <c r="AM10" s="95">
        <f t="shared" si="28"/>
        <v>3481.1000000000004</v>
      </c>
      <c r="AN10" s="95">
        <f>SUM(AN3:AN9)</f>
        <v>7641.24</v>
      </c>
      <c r="AO10" s="95">
        <f t="shared" si="28"/>
        <v>5985.19</v>
      </c>
      <c r="AP10" s="95">
        <f t="shared" si="28"/>
        <v>29724.699999999997</v>
      </c>
      <c r="AQ10" s="102">
        <f>SUM(AQ3:AQ9)</f>
        <v>5459.1900000000005</v>
      </c>
      <c r="AR10" s="103">
        <f>AR9</f>
        <v>-3481.1000000000004</v>
      </c>
      <c r="AS10" s="104">
        <f>AP10+AR10</f>
        <v>26243.599999999999</v>
      </c>
      <c r="AV10" s="525" t="s">
        <v>42</v>
      </c>
      <c r="AW10" s="526"/>
      <c r="AX10" s="95">
        <f t="shared" ref="AX10:BG10" si="29">SUM(AX3:AX9)</f>
        <v>4238.1100000000006</v>
      </c>
      <c r="AY10" s="95">
        <f t="shared" si="29"/>
        <v>1346.2499999999998</v>
      </c>
      <c r="AZ10" s="95">
        <f t="shared" si="29"/>
        <v>19501.399999999998</v>
      </c>
      <c r="BA10" s="95">
        <f t="shared" si="29"/>
        <v>4638.9399999999996</v>
      </c>
      <c r="BB10" s="95">
        <f t="shared" si="29"/>
        <v>5584.36</v>
      </c>
      <c r="BC10" s="95">
        <f t="shared" si="29"/>
        <v>24140.339999999997</v>
      </c>
      <c r="BD10" s="95">
        <f t="shared" si="29"/>
        <v>23739.51</v>
      </c>
      <c r="BE10" s="95">
        <f>SUM(BE3:BE9)</f>
        <v>5985.19</v>
      </c>
      <c r="BF10" s="95">
        <f t="shared" si="29"/>
        <v>29724.699999999997</v>
      </c>
      <c r="BG10" s="95">
        <f t="shared" si="29"/>
        <v>5459.1900000000005</v>
      </c>
      <c r="BP10" s="106"/>
    </row>
    <row r="11" spans="1:70" s="8" customFormat="1" ht="14.25" customHeight="1" x14ac:dyDescent="0.2">
      <c r="A11" s="43" t="s">
        <v>34</v>
      </c>
      <c r="B11" s="44">
        <v>46027</v>
      </c>
      <c r="C11" s="45">
        <v>3</v>
      </c>
      <c r="D11" s="45">
        <v>11</v>
      </c>
      <c r="E11" s="45"/>
      <c r="F11" s="46">
        <v>0</v>
      </c>
      <c r="G11" s="46">
        <v>1</v>
      </c>
      <c r="H11" s="46">
        <v>1</v>
      </c>
      <c r="I11" s="386">
        <f t="shared" ref="I11:I17" si="30">SUM(F11:H11)</f>
        <v>2</v>
      </c>
      <c r="J11" s="48">
        <v>426.5</v>
      </c>
      <c r="K11" s="49">
        <v>0</v>
      </c>
      <c r="L11" s="49">
        <v>0</v>
      </c>
      <c r="M11" s="49">
        <v>0</v>
      </c>
      <c r="N11" s="49">
        <v>36.9</v>
      </c>
      <c r="O11" s="49"/>
      <c r="P11" s="49">
        <v>364.8</v>
      </c>
      <c r="Q11" s="51">
        <v>836.3</v>
      </c>
      <c r="R11" s="52">
        <f>Q11-J11-K11-N11-O11</f>
        <v>372.9</v>
      </c>
      <c r="S11" s="116"/>
      <c r="T11" s="48">
        <v>1579.39</v>
      </c>
      <c r="U11" s="49">
        <v>128.36000000000001</v>
      </c>
      <c r="V11" s="49">
        <v>117.13</v>
      </c>
      <c r="W11" s="49">
        <v>0</v>
      </c>
      <c r="X11" s="49">
        <v>373.4</v>
      </c>
      <c r="Y11" s="49"/>
      <c r="Z11" s="49">
        <v>466.95</v>
      </c>
      <c r="AA11" s="51">
        <v>2622.6</v>
      </c>
      <c r="AB11" s="53">
        <f>AA11-T11-U11-X11-Y11</f>
        <v>541.44999999999982</v>
      </c>
      <c r="AC11" s="54"/>
      <c r="AD11" s="55">
        <f t="shared" ref="AD11:AD17" si="31">T11+J11</f>
        <v>2005.89</v>
      </c>
      <c r="AE11" s="50">
        <f t="shared" ref="AE11:AE17" si="32">K11+U11</f>
        <v>128.36000000000001</v>
      </c>
      <c r="AF11" s="50">
        <f t="shared" ref="AF11:AG17" si="33">N11+X11</f>
        <v>410.29999999999995</v>
      </c>
      <c r="AG11" s="50">
        <f>O11+Y11</f>
        <v>0</v>
      </c>
      <c r="AH11" s="56">
        <f t="shared" ref="AH11:AH17" si="34">R11+AB11</f>
        <v>914.3499999999998</v>
      </c>
      <c r="AI11" s="57">
        <f t="shared" ref="AI11:AI17" si="35">Q11</f>
        <v>836.3</v>
      </c>
      <c r="AJ11" s="58">
        <f>AA11</f>
        <v>2622.6</v>
      </c>
      <c r="AK11" s="59">
        <f>AD11</f>
        <v>2005.89</v>
      </c>
      <c r="AL11" s="60">
        <f>K11+L11+M11+U11+V11+W11</f>
        <v>245.49</v>
      </c>
      <c r="AM11" s="61">
        <f t="shared" ref="AM11:AM17" si="36">N11+X11</f>
        <v>410.29999999999995</v>
      </c>
      <c r="AN11" s="61"/>
      <c r="AO11" s="62">
        <f t="shared" ref="AO11:AO17" si="37">R11+AB11</f>
        <v>914.3499999999998</v>
      </c>
      <c r="AP11" s="63">
        <f t="shared" ref="AP11:AP17" si="38">AI11+AJ11</f>
        <v>3458.8999999999996</v>
      </c>
      <c r="AQ11" s="64">
        <f t="shared" ref="AQ11:AQ17" si="39">P11+Z11</f>
        <v>831.75</v>
      </c>
      <c r="AR11" s="65"/>
      <c r="AS11" s="33"/>
      <c r="AV11" s="66" t="s">
        <v>34</v>
      </c>
      <c r="AW11" s="67">
        <f t="shared" ref="AW11:AW17" si="40">B11</f>
        <v>46027</v>
      </c>
      <c r="AX11" s="68">
        <f>J11+K11+N11</f>
        <v>463.4</v>
      </c>
      <c r="AY11" s="68">
        <f t="shared" ref="AY11:AY17" si="41">R11</f>
        <v>372.9</v>
      </c>
      <c r="AZ11" s="69">
        <f>T11+U11+X11</f>
        <v>2081.15</v>
      </c>
      <c r="BA11" s="69">
        <f t="shared" ref="BA11:BA17" si="42">AB11</f>
        <v>541.44999999999982</v>
      </c>
      <c r="BB11" s="70">
        <f t="shared" ref="BB11:BB17" si="43">AX11+AY11</f>
        <v>836.3</v>
      </c>
      <c r="BC11" s="71">
        <f t="shared" ref="BC11:BC17" si="44">AZ11+BA11</f>
        <v>2622.6</v>
      </c>
      <c r="BD11" s="70">
        <f t="shared" ref="BD11:BD17" si="45">AX11+AZ11</f>
        <v>2544.5500000000002</v>
      </c>
      <c r="BE11" s="71">
        <f t="shared" ref="BE11:BE17" si="46">AY11+BA11</f>
        <v>914.3499999999998</v>
      </c>
      <c r="BF11" s="72">
        <f t="shared" ref="BF11:BF17" si="47">BD11+BE11</f>
        <v>3458.9</v>
      </c>
      <c r="BG11" s="73">
        <f t="shared" ref="BG11:BG17" si="48">AQ11</f>
        <v>831.75</v>
      </c>
      <c r="BP11" s="12"/>
    </row>
    <row r="12" spans="1:70" s="8" customFormat="1" ht="14.25" customHeight="1" x14ac:dyDescent="0.2">
      <c r="A12" s="43" t="s">
        <v>35</v>
      </c>
      <c r="B12" s="44">
        <v>46028</v>
      </c>
      <c r="C12" s="74">
        <v>1</v>
      </c>
      <c r="D12" s="74">
        <v>8</v>
      </c>
      <c r="E12" s="74"/>
      <c r="F12" s="75">
        <v>0</v>
      </c>
      <c r="G12" s="75">
        <v>0</v>
      </c>
      <c r="H12" s="75">
        <v>1</v>
      </c>
      <c r="I12" s="386">
        <f t="shared" si="30"/>
        <v>1</v>
      </c>
      <c r="J12" s="48">
        <v>870.27</v>
      </c>
      <c r="K12" s="49">
        <v>0</v>
      </c>
      <c r="L12" s="49">
        <v>0</v>
      </c>
      <c r="M12" s="49">
        <v>0</v>
      </c>
      <c r="N12" s="49">
        <v>42.8</v>
      </c>
      <c r="O12" s="49"/>
      <c r="P12" s="49">
        <v>206</v>
      </c>
      <c r="Q12" s="51">
        <v>1119.07</v>
      </c>
      <c r="R12" s="52">
        <f t="shared" ref="R12:R16" si="49">Q12-J12-K12-N12-O12</f>
        <v>205.99999999999994</v>
      </c>
      <c r="S12" s="116"/>
      <c r="T12" s="48">
        <v>722.09</v>
      </c>
      <c r="U12" s="49">
        <v>66.64</v>
      </c>
      <c r="V12" s="49">
        <v>0</v>
      </c>
      <c r="W12" s="49">
        <v>0</v>
      </c>
      <c r="X12" s="404">
        <v>636.20000000000005</v>
      </c>
      <c r="Y12" s="404"/>
      <c r="Z12" s="49">
        <v>696.7</v>
      </c>
      <c r="AA12" s="51">
        <v>2140.13</v>
      </c>
      <c r="AB12" s="53">
        <f t="shared" ref="AB12:AB17" si="50">AA12-T12-U12-X12-Y12</f>
        <v>715.19999999999982</v>
      </c>
      <c r="AC12" s="54"/>
      <c r="AD12" s="55">
        <f t="shared" si="31"/>
        <v>1592.3600000000001</v>
      </c>
      <c r="AE12" s="50">
        <f t="shared" si="32"/>
        <v>66.64</v>
      </c>
      <c r="AF12" s="50">
        <f t="shared" si="33"/>
        <v>679</v>
      </c>
      <c r="AG12" s="50">
        <f t="shared" si="33"/>
        <v>0</v>
      </c>
      <c r="AH12" s="56">
        <f t="shared" si="34"/>
        <v>921.19999999999982</v>
      </c>
      <c r="AI12" s="57">
        <f t="shared" si="35"/>
        <v>1119.07</v>
      </c>
      <c r="AJ12" s="58">
        <f t="shared" ref="AJ12:AJ17" si="51">AA12</f>
        <v>2140.13</v>
      </c>
      <c r="AK12" s="59">
        <f t="shared" ref="AK12:AK17" si="52">AD12</f>
        <v>1592.3600000000001</v>
      </c>
      <c r="AL12" s="60">
        <f t="shared" ref="AL12:AL17" si="53">K12+L12+M12+U12+V12+W12</f>
        <v>66.64</v>
      </c>
      <c r="AM12" s="61">
        <f t="shared" si="36"/>
        <v>679</v>
      </c>
      <c r="AN12" s="61"/>
      <c r="AO12" s="62">
        <f t="shared" si="37"/>
        <v>921.19999999999982</v>
      </c>
      <c r="AP12" s="63">
        <f t="shared" si="38"/>
        <v>3259.2</v>
      </c>
      <c r="AQ12" s="64">
        <f t="shared" si="39"/>
        <v>902.7</v>
      </c>
      <c r="AR12" s="77"/>
      <c r="AS12" s="78">
        <f>AP11+AP12</f>
        <v>6718.0999999999995</v>
      </c>
      <c r="AV12" s="79" t="s">
        <v>35</v>
      </c>
      <c r="AW12" s="80">
        <f t="shared" si="40"/>
        <v>46028</v>
      </c>
      <c r="AX12" s="68">
        <f t="shared" ref="AX12:AX17" si="54">J12+K12+N12</f>
        <v>913.06999999999994</v>
      </c>
      <c r="AY12" s="68">
        <f t="shared" si="41"/>
        <v>205.99999999999994</v>
      </c>
      <c r="AZ12" s="69">
        <f t="shared" ref="AZ12:AZ17" si="55">T12+U12+X12</f>
        <v>1424.93</v>
      </c>
      <c r="BA12" s="69">
        <f t="shared" si="42"/>
        <v>715.19999999999982</v>
      </c>
      <c r="BB12" s="81">
        <f t="shared" si="43"/>
        <v>1119.07</v>
      </c>
      <c r="BC12" s="82">
        <f t="shared" si="44"/>
        <v>2140.13</v>
      </c>
      <c r="BD12" s="81">
        <f t="shared" si="45"/>
        <v>2338</v>
      </c>
      <c r="BE12" s="82">
        <f t="shared" si="46"/>
        <v>921.19999999999982</v>
      </c>
      <c r="BF12" s="83">
        <f t="shared" si="47"/>
        <v>3259.2</v>
      </c>
      <c r="BG12" s="84">
        <f t="shared" si="48"/>
        <v>902.7</v>
      </c>
      <c r="BH12" s="85">
        <f>BF11+BF12</f>
        <v>6718.1</v>
      </c>
      <c r="BP12" s="12"/>
    </row>
    <row r="13" spans="1:70" s="110" customFormat="1" ht="14.25" customHeight="1" x14ac:dyDescent="0.2">
      <c r="A13" s="107" t="s">
        <v>36</v>
      </c>
      <c r="B13" s="44">
        <v>46029</v>
      </c>
      <c r="C13" s="74">
        <v>4</v>
      </c>
      <c r="D13" s="74">
        <v>12</v>
      </c>
      <c r="E13" s="74"/>
      <c r="F13" s="75">
        <v>0</v>
      </c>
      <c r="G13" s="75">
        <v>1</v>
      </c>
      <c r="H13" s="75">
        <v>2</v>
      </c>
      <c r="I13" s="386">
        <f>SUM(F13:H13)</f>
        <v>3</v>
      </c>
      <c r="J13" s="48">
        <v>306.83999999999997</v>
      </c>
      <c r="K13" s="49">
        <v>0</v>
      </c>
      <c r="L13" s="49">
        <v>44.36</v>
      </c>
      <c r="M13" s="49">
        <v>0</v>
      </c>
      <c r="N13" s="49">
        <v>236</v>
      </c>
      <c r="O13" s="49"/>
      <c r="P13" s="49">
        <v>182.05</v>
      </c>
      <c r="Q13" s="51">
        <v>724.89</v>
      </c>
      <c r="R13" s="52">
        <f t="shared" si="49"/>
        <v>182.05</v>
      </c>
      <c r="S13" s="116"/>
      <c r="T13" s="48">
        <v>1739.36</v>
      </c>
      <c r="U13" s="49">
        <v>139.32</v>
      </c>
      <c r="V13" s="49">
        <v>0</v>
      </c>
      <c r="W13" s="49">
        <v>104.5</v>
      </c>
      <c r="X13" s="49">
        <v>461.9</v>
      </c>
      <c r="Y13" s="49"/>
      <c r="Z13" s="49">
        <v>615.04999999999995</v>
      </c>
      <c r="AA13" s="51">
        <v>3033.63</v>
      </c>
      <c r="AB13" s="53">
        <f t="shared" si="50"/>
        <v>693.0500000000003</v>
      </c>
      <c r="AC13" s="54"/>
      <c r="AD13" s="55">
        <f t="shared" si="31"/>
        <v>2046.1999999999998</v>
      </c>
      <c r="AE13" s="50">
        <f t="shared" si="32"/>
        <v>139.32</v>
      </c>
      <c r="AF13" s="50">
        <f t="shared" si="33"/>
        <v>697.9</v>
      </c>
      <c r="AG13" s="50">
        <f t="shared" si="33"/>
        <v>0</v>
      </c>
      <c r="AH13" s="56">
        <f t="shared" si="34"/>
        <v>875.10000000000036</v>
      </c>
      <c r="AI13" s="57">
        <f t="shared" si="35"/>
        <v>724.89</v>
      </c>
      <c r="AJ13" s="58">
        <f t="shared" si="51"/>
        <v>3033.63</v>
      </c>
      <c r="AK13" s="59">
        <f t="shared" si="52"/>
        <v>2046.1999999999998</v>
      </c>
      <c r="AL13" s="60">
        <f t="shared" si="53"/>
        <v>288.18</v>
      </c>
      <c r="AM13" s="61">
        <f t="shared" si="36"/>
        <v>697.9</v>
      </c>
      <c r="AN13" s="61"/>
      <c r="AO13" s="62">
        <f t="shared" si="37"/>
        <v>875.10000000000036</v>
      </c>
      <c r="AP13" s="63">
        <f t="shared" si="38"/>
        <v>3758.52</v>
      </c>
      <c r="AQ13" s="64">
        <f t="shared" si="39"/>
        <v>797.09999999999991</v>
      </c>
      <c r="AR13" s="77"/>
      <c r="AS13" s="78">
        <f>AP12+AP13</f>
        <v>7017.7199999999993</v>
      </c>
      <c r="AV13" s="111" t="s">
        <v>36</v>
      </c>
      <c r="AW13" s="112">
        <f t="shared" si="40"/>
        <v>46029</v>
      </c>
      <c r="AX13" s="69">
        <f t="shared" si="54"/>
        <v>542.83999999999992</v>
      </c>
      <c r="AY13" s="69">
        <f t="shared" si="41"/>
        <v>182.05</v>
      </c>
      <c r="AZ13" s="69">
        <f t="shared" si="55"/>
        <v>2340.58</v>
      </c>
      <c r="BA13" s="69">
        <f t="shared" si="42"/>
        <v>693.0500000000003</v>
      </c>
      <c r="BB13" s="81">
        <f t="shared" si="43"/>
        <v>724.88999999999987</v>
      </c>
      <c r="BC13" s="82">
        <f t="shared" si="44"/>
        <v>3033.63</v>
      </c>
      <c r="BD13" s="81">
        <f t="shared" si="45"/>
        <v>2883.42</v>
      </c>
      <c r="BE13" s="82">
        <f t="shared" si="46"/>
        <v>875.10000000000036</v>
      </c>
      <c r="BF13" s="83">
        <f t="shared" si="47"/>
        <v>3758.5200000000004</v>
      </c>
      <c r="BG13" s="84">
        <f t="shared" si="48"/>
        <v>797.09999999999991</v>
      </c>
      <c r="BH13" s="109">
        <f>BH12+BF13</f>
        <v>10476.620000000001</v>
      </c>
      <c r="BP13" s="113"/>
    </row>
    <row r="14" spans="1:70" s="8" customFormat="1" ht="14.25" customHeight="1" x14ac:dyDescent="0.2">
      <c r="A14" s="43" t="s">
        <v>37</v>
      </c>
      <c r="B14" s="44">
        <v>46030</v>
      </c>
      <c r="C14" s="74">
        <v>6</v>
      </c>
      <c r="D14" s="74">
        <v>4</v>
      </c>
      <c r="E14" s="74"/>
      <c r="F14" s="75">
        <v>0</v>
      </c>
      <c r="G14" s="75">
        <v>0</v>
      </c>
      <c r="H14" s="75">
        <v>3</v>
      </c>
      <c r="I14" s="76">
        <f t="shared" si="30"/>
        <v>3</v>
      </c>
      <c r="J14" s="48">
        <v>255.99</v>
      </c>
      <c r="K14" s="49">
        <v>0</v>
      </c>
      <c r="L14" s="49">
        <v>29.23</v>
      </c>
      <c r="M14" s="49">
        <v>17.899999999999999</v>
      </c>
      <c r="N14" s="49">
        <v>0</v>
      </c>
      <c r="O14" s="408"/>
      <c r="P14" s="49">
        <v>140.1</v>
      </c>
      <c r="Q14" s="51">
        <v>396.09</v>
      </c>
      <c r="R14" s="52">
        <f t="shared" si="49"/>
        <v>140.09999999999997</v>
      </c>
      <c r="S14" s="116"/>
      <c r="T14" s="48">
        <v>1977.44</v>
      </c>
      <c r="U14" s="49">
        <v>183.77</v>
      </c>
      <c r="V14" s="49">
        <v>43.44</v>
      </c>
      <c r="W14" s="49">
        <v>19.899999999999999</v>
      </c>
      <c r="X14" s="49">
        <v>219.5</v>
      </c>
      <c r="Y14" s="49"/>
      <c r="Z14" s="49">
        <v>569.95000000000005</v>
      </c>
      <c r="AA14" s="51">
        <v>3026.16</v>
      </c>
      <c r="AB14" s="53">
        <f t="shared" si="50"/>
        <v>645.44999999999982</v>
      </c>
      <c r="AC14" s="54"/>
      <c r="AD14" s="55">
        <f t="shared" si="31"/>
        <v>2233.4300000000003</v>
      </c>
      <c r="AE14" s="50">
        <f t="shared" si="32"/>
        <v>183.77</v>
      </c>
      <c r="AF14" s="50">
        <f t="shared" si="33"/>
        <v>219.5</v>
      </c>
      <c r="AG14" s="410">
        <f t="shared" si="33"/>
        <v>0</v>
      </c>
      <c r="AH14" s="56">
        <f t="shared" si="34"/>
        <v>785.54999999999973</v>
      </c>
      <c r="AI14" s="57">
        <f t="shared" si="35"/>
        <v>396.09</v>
      </c>
      <c r="AJ14" s="58">
        <f t="shared" si="51"/>
        <v>3026.16</v>
      </c>
      <c r="AK14" s="59">
        <f t="shared" si="52"/>
        <v>2233.4300000000003</v>
      </c>
      <c r="AL14" s="60">
        <f t="shared" si="53"/>
        <v>294.24</v>
      </c>
      <c r="AM14" s="61">
        <f t="shared" si="36"/>
        <v>219.5</v>
      </c>
      <c r="AN14" s="61"/>
      <c r="AO14" s="62">
        <f t="shared" si="37"/>
        <v>785.54999999999973</v>
      </c>
      <c r="AP14" s="63">
        <f t="shared" si="38"/>
        <v>3422.25</v>
      </c>
      <c r="AQ14" s="64">
        <f t="shared" si="39"/>
        <v>710.05000000000007</v>
      </c>
      <c r="AR14" s="86">
        <v>0.28299999999999997</v>
      </c>
      <c r="AS14" s="78">
        <f>AS13+AP14</f>
        <v>10439.969999999999</v>
      </c>
      <c r="AV14" s="79" t="s">
        <v>37</v>
      </c>
      <c r="AW14" s="80">
        <f t="shared" si="40"/>
        <v>46030</v>
      </c>
      <c r="AX14" s="68">
        <f t="shared" si="54"/>
        <v>255.99</v>
      </c>
      <c r="AY14" s="68">
        <f t="shared" si="41"/>
        <v>140.09999999999997</v>
      </c>
      <c r="AZ14" s="69">
        <f t="shared" si="55"/>
        <v>2380.71</v>
      </c>
      <c r="BA14" s="69">
        <f t="shared" si="42"/>
        <v>645.44999999999982</v>
      </c>
      <c r="BB14" s="81">
        <f t="shared" si="43"/>
        <v>396.09</v>
      </c>
      <c r="BC14" s="82">
        <f t="shared" si="44"/>
        <v>3026.16</v>
      </c>
      <c r="BD14" s="81">
        <f t="shared" si="45"/>
        <v>2636.7</v>
      </c>
      <c r="BE14" s="82">
        <f t="shared" si="46"/>
        <v>785.54999999999973</v>
      </c>
      <c r="BF14" s="83">
        <f t="shared" si="47"/>
        <v>3422.2499999999995</v>
      </c>
      <c r="BG14" s="84">
        <f t="shared" si="48"/>
        <v>710.05000000000007</v>
      </c>
      <c r="BH14" s="85">
        <f>BH13+BF14</f>
        <v>13898.87</v>
      </c>
      <c r="BP14" s="12"/>
    </row>
    <row r="15" spans="1:70" s="8" customFormat="1" ht="14.25" customHeight="1" x14ac:dyDescent="0.2">
      <c r="A15" s="43" t="s">
        <v>38</v>
      </c>
      <c r="B15" s="44">
        <v>46031</v>
      </c>
      <c r="C15" s="74">
        <v>8</v>
      </c>
      <c r="D15" s="74">
        <v>14</v>
      </c>
      <c r="E15" s="74"/>
      <c r="F15" s="75">
        <v>0</v>
      </c>
      <c r="G15" s="75">
        <v>0</v>
      </c>
      <c r="H15" s="75">
        <v>5</v>
      </c>
      <c r="I15" s="76">
        <f t="shared" si="30"/>
        <v>5</v>
      </c>
      <c r="J15" s="48">
        <v>816.64</v>
      </c>
      <c r="K15" s="49">
        <v>0</v>
      </c>
      <c r="L15" s="49">
        <v>13.09</v>
      </c>
      <c r="M15" s="49">
        <v>0</v>
      </c>
      <c r="N15" s="49">
        <v>160.30000000000001</v>
      </c>
      <c r="O15" s="408"/>
      <c r="P15" s="49">
        <v>168.4</v>
      </c>
      <c r="Q15" s="51">
        <v>1145.3399999999999</v>
      </c>
      <c r="R15" s="52">
        <f>Q15-J15-K15-N15-O15</f>
        <v>168.39999999999992</v>
      </c>
      <c r="S15" s="116"/>
      <c r="T15" s="48">
        <v>2272.08</v>
      </c>
      <c r="U15" s="49">
        <v>601.96</v>
      </c>
      <c r="V15" s="49">
        <v>152.55000000000001</v>
      </c>
      <c r="W15" s="49">
        <v>0</v>
      </c>
      <c r="X15" s="49">
        <v>1208.4000000000001</v>
      </c>
      <c r="Y15" s="49"/>
      <c r="Z15" s="49">
        <v>663.75</v>
      </c>
      <c r="AA15" s="51">
        <v>4834.6899999999996</v>
      </c>
      <c r="AB15" s="53">
        <f t="shared" si="50"/>
        <v>752.24999999999955</v>
      </c>
      <c r="AC15" s="54"/>
      <c r="AD15" s="55">
        <f t="shared" si="31"/>
        <v>3088.72</v>
      </c>
      <c r="AE15" s="50">
        <f t="shared" si="32"/>
        <v>601.96</v>
      </c>
      <c r="AF15" s="50">
        <f t="shared" si="33"/>
        <v>1368.7</v>
      </c>
      <c r="AG15" s="50">
        <f t="shared" si="33"/>
        <v>0</v>
      </c>
      <c r="AH15" s="56">
        <f t="shared" si="34"/>
        <v>920.64999999999941</v>
      </c>
      <c r="AI15" s="57">
        <f t="shared" si="35"/>
        <v>1145.3399999999999</v>
      </c>
      <c r="AJ15" s="58">
        <f t="shared" si="51"/>
        <v>4834.6899999999996</v>
      </c>
      <c r="AK15" s="59">
        <f t="shared" si="52"/>
        <v>3088.72</v>
      </c>
      <c r="AL15" s="60">
        <f t="shared" si="53"/>
        <v>767.60000000000014</v>
      </c>
      <c r="AM15" s="61">
        <f t="shared" si="36"/>
        <v>1368.7</v>
      </c>
      <c r="AN15" s="61"/>
      <c r="AO15" s="62">
        <f t="shared" si="37"/>
        <v>920.64999999999941</v>
      </c>
      <c r="AP15" s="63">
        <f t="shared" si="38"/>
        <v>5980.03</v>
      </c>
      <c r="AQ15" s="64">
        <f t="shared" si="39"/>
        <v>832.15</v>
      </c>
      <c r="AR15" s="87" t="s">
        <v>39</v>
      </c>
      <c r="AS15" s="78">
        <f>AS14+AP15</f>
        <v>16420</v>
      </c>
      <c r="AV15" s="79" t="s">
        <v>38</v>
      </c>
      <c r="AW15" s="80">
        <f t="shared" si="40"/>
        <v>46031</v>
      </c>
      <c r="AX15" s="68">
        <f t="shared" si="54"/>
        <v>976.94</v>
      </c>
      <c r="AY15" s="68">
        <f t="shared" si="41"/>
        <v>168.39999999999992</v>
      </c>
      <c r="AZ15" s="69">
        <f t="shared" si="55"/>
        <v>4082.44</v>
      </c>
      <c r="BA15" s="69">
        <f t="shared" si="42"/>
        <v>752.24999999999955</v>
      </c>
      <c r="BB15" s="81">
        <f t="shared" si="43"/>
        <v>1145.3399999999999</v>
      </c>
      <c r="BC15" s="82">
        <f t="shared" si="44"/>
        <v>4834.6899999999996</v>
      </c>
      <c r="BD15" s="81">
        <f t="shared" si="45"/>
        <v>5059.38</v>
      </c>
      <c r="BE15" s="82">
        <f t="shared" si="46"/>
        <v>920.64999999999941</v>
      </c>
      <c r="BF15" s="83">
        <f t="shared" si="47"/>
        <v>5980.03</v>
      </c>
      <c r="BG15" s="84">
        <f t="shared" si="48"/>
        <v>832.15</v>
      </c>
      <c r="BH15" s="85">
        <f>BH14+BF15</f>
        <v>19878.900000000001</v>
      </c>
      <c r="BP15" s="12"/>
      <c r="BR15" s="88"/>
    </row>
    <row r="16" spans="1:70" s="8" customFormat="1" ht="14.25" customHeight="1" x14ac:dyDescent="0.2">
      <c r="A16" s="43" t="s">
        <v>40</v>
      </c>
      <c r="B16" s="44">
        <v>46032</v>
      </c>
      <c r="C16" s="74">
        <v>13</v>
      </c>
      <c r="D16" s="74">
        <v>16</v>
      </c>
      <c r="E16" s="74"/>
      <c r="F16" s="75">
        <v>1</v>
      </c>
      <c r="G16" s="75">
        <v>1</v>
      </c>
      <c r="H16" s="75">
        <v>5</v>
      </c>
      <c r="I16" s="76">
        <f t="shared" si="30"/>
        <v>7</v>
      </c>
      <c r="J16" s="48">
        <v>401.02</v>
      </c>
      <c r="K16" s="49">
        <v>222.89</v>
      </c>
      <c r="L16" s="49">
        <v>0</v>
      </c>
      <c r="M16" s="49">
        <v>0</v>
      </c>
      <c r="N16" s="49">
        <v>19.899999999999999</v>
      </c>
      <c r="O16" s="49"/>
      <c r="P16" s="49">
        <v>288.35000000000002</v>
      </c>
      <c r="Q16" s="51">
        <v>932.16</v>
      </c>
      <c r="R16" s="52">
        <f t="shared" si="49"/>
        <v>288.35000000000002</v>
      </c>
      <c r="S16" s="116"/>
      <c r="T16" s="48">
        <v>3773.5</v>
      </c>
      <c r="U16" s="49">
        <v>516.21</v>
      </c>
      <c r="V16" s="49">
        <v>171.13</v>
      </c>
      <c r="W16" s="49">
        <v>0</v>
      </c>
      <c r="X16" s="49">
        <v>755.8</v>
      </c>
      <c r="Y16" s="49"/>
      <c r="Z16" s="49">
        <v>724.45</v>
      </c>
      <c r="AA16" s="51">
        <v>5871.46</v>
      </c>
      <c r="AB16" s="53">
        <f t="shared" si="50"/>
        <v>825.95</v>
      </c>
      <c r="AC16" s="54"/>
      <c r="AD16" s="55">
        <f t="shared" si="31"/>
        <v>4174.5200000000004</v>
      </c>
      <c r="AE16" s="50">
        <f t="shared" si="32"/>
        <v>739.1</v>
      </c>
      <c r="AF16" s="50">
        <f t="shared" si="33"/>
        <v>775.69999999999993</v>
      </c>
      <c r="AG16" s="50">
        <f t="shared" si="33"/>
        <v>0</v>
      </c>
      <c r="AH16" s="56">
        <f t="shared" si="34"/>
        <v>1114.3000000000002</v>
      </c>
      <c r="AI16" s="57">
        <f t="shared" si="35"/>
        <v>932.16</v>
      </c>
      <c r="AJ16" s="58">
        <f t="shared" si="51"/>
        <v>5871.46</v>
      </c>
      <c r="AK16" s="59">
        <f t="shared" si="52"/>
        <v>4174.5200000000004</v>
      </c>
      <c r="AL16" s="60">
        <f t="shared" si="53"/>
        <v>910.23</v>
      </c>
      <c r="AM16" s="61">
        <f t="shared" si="36"/>
        <v>775.69999999999993</v>
      </c>
      <c r="AN16" s="61"/>
      <c r="AO16" s="62">
        <f t="shared" si="37"/>
        <v>1114.3000000000002</v>
      </c>
      <c r="AP16" s="63">
        <f t="shared" si="38"/>
        <v>6803.62</v>
      </c>
      <c r="AQ16" s="64">
        <f t="shared" si="39"/>
        <v>1012.8000000000001</v>
      </c>
      <c r="AR16" s="89"/>
      <c r="AS16" s="78">
        <f>AS15+AP16</f>
        <v>23223.62</v>
      </c>
      <c r="AV16" s="79" t="s">
        <v>40</v>
      </c>
      <c r="AW16" s="80">
        <f t="shared" si="40"/>
        <v>46032</v>
      </c>
      <c r="AX16" s="68">
        <f t="shared" si="54"/>
        <v>643.80999999999995</v>
      </c>
      <c r="AY16" s="68">
        <f t="shared" si="41"/>
        <v>288.35000000000002</v>
      </c>
      <c r="AZ16" s="69">
        <f t="shared" si="55"/>
        <v>5045.51</v>
      </c>
      <c r="BA16" s="69">
        <f t="shared" si="42"/>
        <v>825.95</v>
      </c>
      <c r="BB16" s="81">
        <f t="shared" si="43"/>
        <v>932.16</v>
      </c>
      <c r="BC16" s="82">
        <f t="shared" si="44"/>
        <v>5871.46</v>
      </c>
      <c r="BD16" s="81">
        <f t="shared" si="45"/>
        <v>5689.32</v>
      </c>
      <c r="BE16" s="82">
        <f t="shared" si="46"/>
        <v>1114.3000000000002</v>
      </c>
      <c r="BF16" s="83">
        <f t="shared" si="47"/>
        <v>6803.62</v>
      </c>
      <c r="BG16" s="84">
        <f t="shared" si="48"/>
        <v>1012.8000000000001</v>
      </c>
      <c r="BH16" s="85">
        <f>BH15+BF16</f>
        <v>26682.52</v>
      </c>
      <c r="BP16" s="12"/>
    </row>
    <row r="17" spans="1:70" s="8" customFormat="1" ht="14.25" customHeight="1" x14ac:dyDescent="0.2">
      <c r="A17" s="43" t="s">
        <v>41</v>
      </c>
      <c r="B17" s="44">
        <v>46033</v>
      </c>
      <c r="C17" s="74">
        <v>7</v>
      </c>
      <c r="D17" s="74">
        <v>11</v>
      </c>
      <c r="E17" s="74"/>
      <c r="F17" s="75">
        <v>0</v>
      </c>
      <c r="G17" s="75">
        <v>0</v>
      </c>
      <c r="H17" s="75">
        <v>2</v>
      </c>
      <c r="I17" s="76">
        <f t="shared" si="30"/>
        <v>2</v>
      </c>
      <c r="J17" s="48">
        <v>1015.41</v>
      </c>
      <c r="K17" s="49">
        <v>0</v>
      </c>
      <c r="L17" s="49">
        <v>37.799999999999997</v>
      </c>
      <c r="M17" s="49">
        <v>0</v>
      </c>
      <c r="N17" s="49">
        <v>59.7</v>
      </c>
      <c r="O17" s="49"/>
      <c r="P17" s="49">
        <v>487.01</v>
      </c>
      <c r="Q17" s="51">
        <v>1562.76</v>
      </c>
      <c r="R17" s="52">
        <f>Q17-J17-K17-N17-O17</f>
        <v>487.65000000000003</v>
      </c>
      <c r="S17" s="116"/>
      <c r="T17" s="48">
        <v>1897.34</v>
      </c>
      <c r="U17" s="49">
        <v>231.28</v>
      </c>
      <c r="V17" s="49">
        <v>40.4</v>
      </c>
      <c r="W17" s="49">
        <v>124.7</v>
      </c>
      <c r="X17" s="49">
        <v>885.1</v>
      </c>
      <c r="Y17" s="49"/>
      <c r="Z17" s="49">
        <v>1035.3499999999999</v>
      </c>
      <c r="AA17" s="51">
        <v>4123.57</v>
      </c>
      <c r="AB17" s="53">
        <f t="shared" si="50"/>
        <v>1109.8499999999995</v>
      </c>
      <c r="AC17" s="54"/>
      <c r="AD17" s="55">
        <f t="shared" si="31"/>
        <v>2912.75</v>
      </c>
      <c r="AE17" s="50">
        <f t="shared" si="32"/>
        <v>231.28</v>
      </c>
      <c r="AF17" s="50">
        <f t="shared" si="33"/>
        <v>944.80000000000007</v>
      </c>
      <c r="AG17" s="50">
        <f t="shared" si="33"/>
        <v>0</v>
      </c>
      <c r="AH17" s="56">
        <f t="shared" si="34"/>
        <v>1597.4999999999995</v>
      </c>
      <c r="AI17" s="57">
        <f t="shared" si="35"/>
        <v>1562.76</v>
      </c>
      <c r="AJ17" s="58">
        <f t="shared" si="51"/>
        <v>4123.57</v>
      </c>
      <c r="AK17" s="59">
        <f t="shared" si="52"/>
        <v>2912.75</v>
      </c>
      <c r="AL17" s="60">
        <f t="shared" si="53"/>
        <v>434.17999999999995</v>
      </c>
      <c r="AM17" s="61">
        <f t="shared" si="36"/>
        <v>944.80000000000007</v>
      </c>
      <c r="AN17" s="61"/>
      <c r="AO17" s="62">
        <f t="shared" si="37"/>
        <v>1597.4999999999995</v>
      </c>
      <c r="AP17" s="63">
        <f t="shared" si="38"/>
        <v>5686.33</v>
      </c>
      <c r="AQ17" s="64">
        <f t="shared" si="39"/>
        <v>1522.36</v>
      </c>
      <c r="AR17" s="90">
        <f>AR16-AM18</f>
        <v>-5095.8999999999996</v>
      </c>
      <c r="AS17" s="78">
        <f>AS16+AP17</f>
        <v>28909.949999999997</v>
      </c>
      <c r="AV17" s="79" t="s">
        <v>41</v>
      </c>
      <c r="AW17" s="80">
        <f t="shared" si="40"/>
        <v>46033</v>
      </c>
      <c r="AX17" s="68">
        <f t="shared" si="54"/>
        <v>1075.1099999999999</v>
      </c>
      <c r="AY17" s="68">
        <f t="shared" si="41"/>
        <v>487.65000000000003</v>
      </c>
      <c r="AZ17" s="69">
        <f t="shared" si="55"/>
        <v>3013.72</v>
      </c>
      <c r="BA17" s="69">
        <f t="shared" si="42"/>
        <v>1109.8499999999995</v>
      </c>
      <c r="BB17" s="81">
        <f t="shared" si="43"/>
        <v>1562.76</v>
      </c>
      <c r="BC17" s="82">
        <f t="shared" si="44"/>
        <v>4123.57</v>
      </c>
      <c r="BD17" s="81">
        <f t="shared" si="45"/>
        <v>4088.83</v>
      </c>
      <c r="BE17" s="82">
        <f t="shared" si="46"/>
        <v>1597.4999999999995</v>
      </c>
      <c r="BF17" s="83">
        <f t="shared" si="47"/>
        <v>5686.33</v>
      </c>
      <c r="BG17" s="84">
        <f t="shared" si="48"/>
        <v>1522.36</v>
      </c>
      <c r="BH17" s="85">
        <f>BH16+BF17</f>
        <v>32368.85</v>
      </c>
      <c r="BP17" s="12"/>
    </row>
    <row r="18" spans="1:70" s="105" customFormat="1" ht="14.25" customHeight="1" thickBot="1" x14ac:dyDescent="0.25">
      <c r="A18" s="91" t="s">
        <v>42</v>
      </c>
      <c r="B18" s="91"/>
      <c r="C18" s="92">
        <f>SUM(C11:C17)</f>
        <v>42</v>
      </c>
      <c r="D18" s="93">
        <f>SUM(D11:D17)</f>
        <v>76</v>
      </c>
      <c r="E18" s="14">
        <f>SUM(E11:E17)</f>
        <v>0</v>
      </c>
      <c r="F18" s="523">
        <f>SUM(I11:I17)</f>
        <v>23</v>
      </c>
      <c r="G18" s="524"/>
      <c r="H18" s="524"/>
      <c r="I18" s="387">
        <f>SUM(C18:H18)</f>
        <v>141</v>
      </c>
      <c r="J18" s="94">
        <f t="shared" ref="J18:Q18" si="56">SUM(J11:J17)</f>
        <v>4092.6699999999996</v>
      </c>
      <c r="K18" s="95">
        <f t="shared" si="56"/>
        <v>222.89</v>
      </c>
      <c r="L18" s="95">
        <f t="shared" si="56"/>
        <v>124.48</v>
      </c>
      <c r="M18" s="95">
        <f t="shared" si="56"/>
        <v>17.899999999999999</v>
      </c>
      <c r="N18" s="95">
        <f>SUM(N11:N17)</f>
        <v>555.6</v>
      </c>
      <c r="O18" s="95">
        <f>SUM(O11:O17)</f>
        <v>0</v>
      </c>
      <c r="P18" s="95">
        <f t="shared" si="56"/>
        <v>1836.7099999999998</v>
      </c>
      <c r="Q18" s="96">
        <f t="shared" si="56"/>
        <v>6716.61</v>
      </c>
      <c r="R18" s="97">
        <f>SUM(R11:R17)</f>
        <v>1845.4499999999998</v>
      </c>
      <c r="S18" s="117"/>
      <c r="T18" s="94">
        <f t="shared" ref="T18:AA18" si="57">SUM(T11:T17)</f>
        <v>13961.2</v>
      </c>
      <c r="U18" s="95">
        <f t="shared" si="57"/>
        <v>1867.5400000000002</v>
      </c>
      <c r="V18" s="95">
        <f t="shared" si="57"/>
        <v>524.65</v>
      </c>
      <c r="W18" s="95">
        <f t="shared" si="57"/>
        <v>249.10000000000002</v>
      </c>
      <c r="X18" s="95">
        <f t="shared" si="57"/>
        <v>4540.3</v>
      </c>
      <c r="Y18" s="95"/>
      <c r="Z18" s="95">
        <f t="shared" si="57"/>
        <v>4772.2000000000007</v>
      </c>
      <c r="AA18" s="96">
        <f t="shared" si="57"/>
        <v>25652.239999999998</v>
      </c>
      <c r="AB18" s="98">
        <f>SUM(AB11:AB17)</f>
        <v>5283.1999999999989</v>
      </c>
      <c r="AC18" s="99"/>
      <c r="AD18" s="100">
        <f t="shared" ref="AD18:AP18" si="58">SUM(AD11:AD17)</f>
        <v>18053.870000000003</v>
      </c>
      <c r="AE18" s="95">
        <f t="shared" si="58"/>
        <v>2090.4300000000003</v>
      </c>
      <c r="AF18" s="95">
        <f t="shared" si="58"/>
        <v>5095.8999999999996</v>
      </c>
      <c r="AG18" s="95">
        <f>SUM(AG11:AG17)</f>
        <v>0</v>
      </c>
      <c r="AH18" s="95">
        <f>SUM(AH11:AH17)</f>
        <v>7128.65</v>
      </c>
      <c r="AI18" s="95">
        <f>SUM(AI11:AI17)</f>
        <v>6716.61</v>
      </c>
      <c r="AJ18" s="95">
        <f>SUM(AJ11:AJ17)</f>
        <v>25652.239999999998</v>
      </c>
      <c r="AK18" s="101">
        <f t="shared" si="58"/>
        <v>18053.870000000003</v>
      </c>
      <c r="AL18" s="95">
        <f t="shared" si="58"/>
        <v>3006.56</v>
      </c>
      <c r="AM18" s="95">
        <f t="shared" si="58"/>
        <v>5095.8999999999996</v>
      </c>
      <c r="AN18" s="95"/>
      <c r="AO18" s="95">
        <f t="shared" si="58"/>
        <v>7128.65</v>
      </c>
      <c r="AP18" s="95">
        <f t="shared" si="58"/>
        <v>32368.85</v>
      </c>
      <c r="AQ18" s="102">
        <f>SUM(AQ11:AQ17)</f>
        <v>6608.91</v>
      </c>
      <c r="AR18" s="103">
        <f>AR17</f>
        <v>-5095.8999999999996</v>
      </c>
      <c r="AS18" s="104">
        <f>AP18+AR18</f>
        <v>27272.949999999997</v>
      </c>
      <c r="AV18" s="525" t="s">
        <v>42</v>
      </c>
      <c r="AW18" s="526"/>
      <c r="AX18" s="95">
        <f t="shared" ref="AX18:BD18" si="59">SUM(AX11:AX17)</f>
        <v>4871.16</v>
      </c>
      <c r="AY18" s="95">
        <f t="shared" si="59"/>
        <v>1845.4499999999998</v>
      </c>
      <c r="AZ18" s="95">
        <f t="shared" si="59"/>
        <v>20369.04</v>
      </c>
      <c r="BA18" s="95">
        <f t="shared" si="59"/>
        <v>5283.1999999999989</v>
      </c>
      <c r="BB18" s="95">
        <f t="shared" si="59"/>
        <v>6716.61</v>
      </c>
      <c r="BC18" s="95">
        <f t="shared" si="59"/>
        <v>25652.239999999998</v>
      </c>
      <c r="BD18" s="95">
        <f t="shared" si="59"/>
        <v>25240.199999999997</v>
      </c>
      <c r="BE18" s="95">
        <f>SUM(BE11:BE17)</f>
        <v>7128.65</v>
      </c>
      <c r="BF18" s="95">
        <f t="shared" ref="BF18:BG18" si="60">SUM(BF11:BF17)</f>
        <v>32368.85</v>
      </c>
      <c r="BG18" s="95">
        <f t="shared" si="60"/>
        <v>6608.91</v>
      </c>
      <c r="BP18" s="106"/>
    </row>
    <row r="19" spans="1:70" s="8" customFormat="1" ht="14.25" customHeight="1" x14ac:dyDescent="0.2">
      <c r="A19" s="43" t="s">
        <v>34</v>
      </c>
      <c r="B19" s="44">
        <v>46034</v>
      </c>
      <c r="C19" s="45">
        <v>4</v>
      </c>
      <c r="D19" s="45">
        <v>8</v>
      </c>
      <c r="E19" s="45"/>
      <c r="F19" s="46">
        <v>0</v>
      </c>
      <c r="G19" s="46">
        <v>2</v>
      </c>
      <c r="H19" s="46">
        <v>1</v>
      </c>
      <c r="I19" s="47">
        <f t="shared" ref="I19:I25" si="61">SUM(F19:H19)</f>
        <v>3</v>
      </c>
      <c r="J19" s="48">
        <v>518.05999999999995</v>
      </c>
      <c r="K19" s="49">
        <v>0</v>
      </c>
      <c r="L19" s="49">
        <v>0</v>
      </c>
      <c r="M19" s="49">
        <v>0</v>
      </c>
      <c r="N19" s="49">
        <v>93.7</v>
      </c>
      <c r="O19" s="49"/>
      <c r="P19" s="49">
        <v>67.599999999999994</v>
      </c>
      <c r="Q19" s="51">
        <v>679.36</v>
      </c>
      <c r="R19" s="52">
        <f>Q19-J19-K19-N19-O19</f>
        <v>67.600000000000065</v>
      </c>
      <c r="S19" s="116"/>
      <c r="T19" s="48">
        <v>1356.22</v>
      </c>
      <c r="U19" s="49">
        <v>192.92</v>
      </c>
      <c r="V19" s="49">
        <v>86.64</v>
      </c>
      <c r="W19" s="49">
        <v>0</v>
      </c>
      <c r="X19" s="49">
        <v>321.10000000000002</v>
      </c>
      <c r="Y19" s="49"/>
      <c r="Z19" s="49">
        <v>524.75</v>
      </c>
      <c r="AA19" s="51">
        <v>2473.4899999999998</v>
      </c>
      <c r="AB19" s="53">
        <f>AA19-T19-U19-X19-Y19</f>
        <v>603.24999999999977</v>
      </c>
      <c r="AC19" s="54"/>
      <c r="AD19" s="55">
        <f t="shared" ref="AD19:AD25" si="62">T19+J19</f>
        <v>1874.28</v>
      </c>
      <c r="AE19" s="50">
        <f t="shared" ref="AE19:AE25" si="63">K19+U19</f>
        <v>192.92</v>
      </c>
      <c r="AF19" s="50">
        <f t="shared" ref="AF19:AF25" si="64">N19+X19</f>
        <v>414.8</v>
      </c>
      <c r="AG19" s="50"/>
      <c r="AH19" s="56">
        <f t="shared" ref="AH19:AH25" si="65">R19+AB19</f>
        <v>670.8499999999998</v>
      </c>
      <c r="AI19" s="57">
        <f t="shared" ref="AI19:AI25" si="66">Q19</f>
        <v>679.36</v>
      </c>
      <c r="AJ19" s="58">
        <f t="shared" ref="AJ19:AJ25" si="67">AA19</f>
        <v>2473.4899999999998</v>
      </c>
      <c r="AK19" s="59">
        <f t="shared" ref="AK19:AK25" si="68">AD19</f>
        <v>1874.28</v>
      </c>
      <c r="AL19" s="60">
        <f t="shared" ref="AL19:AL25" si="69">K19+L19+M19+U19+V19+W19</f>
        <v>279.56</v>
      </c>
      <c r="AM19" s="61">
        <f t="shared" ref="AM19:AM25" si="70">N19+X19</f>
        <v>414.8</v>
      </c>
      <c r="AN19" s="61"/>
      <c r="AO19" s="62">
        <f t="shared" ref="AO19:AO25" si="71">R19+AB19</f>
        <v>670.8499999999998</v>
      </c>
      <c r="AP19" s="63">
        <f t="shared" ref="AP19:AP25" si="72">AI19+AJ19</f>
        <v>3152.85</v>
      </c>
      <c r="AQ19" s="64">
        <f t="shared" ref="AQ19:AQ25" si="73">P19+Z19</f>
        <v>592.35</v>
      </c>
      <c r="AR19" s="65"/>
      <c r="AS19" s="33"/>
      <c r="AV19" s="66" t="s">
        <v>34</v>
      </c>
      <c r="AW19" s="67">
        <f t="shared" ref="AW19:AW25" si="74">B19</f>
        <v>46034</v>
      </c>
      <c r="AX19" s="68">
        <f>J19+K19+N19</f>
        <v>611.76</v>
      </c>
      <c r="AY19" s="68">
        <f t="shared" ref="AY19:AY25" si="75">R19</f>
        <v>67.600000000000065</v>
      </c>
      <c r="AZ19" s="69">
        <f>T19+U19+X19</f>
        <v>1870.2400000000002</v>
      </c>
      <c r="BA19" s="69">
        <f t="shared" ref="BA19:BA25" si="76">AB19</f>
        <v>603.24999999999977</v>
      </c>
      <c r="BB19" s="70">
        <f t="shared" ref="BB19:BB25" si="77">AX19+AY19</f>
        <v>679.36</v>
      </c>
      <c r="BC19" s="71">
        <f t="shared" ref="BC19:BC25" si="78">AZ19+BA19</f>
        <v>2473.4899999999998</v>
      </c>
      <c r="BD19" s="70">
        <f t="shared" ref="BD19:BD25" si="79">AX19+AZ19</f>
        <v>2482</v>
      </c>
      <c r="BE19" s="71">
        <f t="shared" ref="BE19:BE25" si="80">AY19+BA19</f>
        <v>670.8499999999998</v>
      </c>
      <c r="BF19" s="72">
        <f t="shared" ref="BF19:BF25" si="81">BD19+BE19</f>
        <v>3152.85</v>
      </c>
      <c r="BG19" s="73">
        <f t="shared" ref="BG19:BG25" si="82">AQ19</f>
        <v>592.35</v>
      </c>
      <c r="BP19" s="12"/>
    </row>
    <row r="20" spans="1:70" s="8" customFormat="1" ht="14.25" customHeight="1" x14ac:dyDescent="0.2">
      <c r="A20" s="43" t="s">
        <v>35</v>
      </c>
      <c r="B20" s="44">
        <v>46035</v>
      </c>
      <c r="C20" s="74">
        <v>4</v>
      </c>
      <c r="D20" s="74">
        <v>9</v>
      </c>
      <c r="E20" s="74"/>
      <c r="F20" s="75">
        <v>0</v>
      </c>
      <c r="G20" s="75">
        <v>0</v>
      </c>
      <c r="H20" s="75">
        <v>1</v>
      </c>
      <c r="I20" s="76">
        <f t="shared" si="61"/>
        <v>1</v>
      </c>
      <c r="J20" s="48">
        <v>234.96</v>
      </c>
      <c r="K20" s="49">
        <v>0</v>
      </c>
      <c r="L20" s="49">
        <v>16.14</v>
      </c>
      <c r="M20" s="49">
        <v>0</v>
      </c>
      <c r="N20" s="49">
        <v>125.5</v>
      </c>
      <c r="O20" s="49"/>
      <c r="P20" s="49">
        <v>308.55</v>
      </c>
      <c r="Q20" s="51">
        <v>669.01</v>
      </c>
      <c r="R20" s="52">
        <f t="shared" ref="R20:R25" si="83">Q20-J20-K20-N20-O20</f>
        <v>308.54999999999995</v>
      </c>
      <c r="S20" s="116"/>
      <c r="T20" s="48">
        <v>1368.45</v>
      </c>
      <c r="U20" s="49">
        <v>61.92</v>
      </c>
      <c r="V20" s="49">
        <v>132.46</v>
      </c>
      <c r="W20" s="49">
        <v>0</v>
      </c>
      <c r="X20" s="49">
        <v>248</v>
      </c>
      <c r="Y20" s="49"/>
      <c r="Z20" s="49">
        <v>639.54999999999995</v>
      </c>
      <c r="AA20" s="51">
        <v>2386.42</v>
      </c>
      <c r="AB20" s="53">
        <f t="shared" ref="AB20:AB25" si="84">AA20-T20-U20-X20-Y20</f>
        <v>708.05000000000007</v>
      </c>
      <c r="AC20" s="54"/>
      <c r="AD20" s="55">
        <f t="shared" si="62"/>
        <v>1603.41</v>
      </c>
      <c r="AE20" s="50">
        <f t="shared" si="63"/>
        <v>61.92</v>
      </c>
      <c r="AF20" s="50">
        <f t="shared" si="64"/>
        <v>373.5</v>
      </c>
      <c r="AG20" s="50"/>
      <c r="AH20" s="56">
        <f t="shared" si="65"/>
        <v>1016.6</v>
      </c>
      <c r="AI20" s="57">
        <f t="shared" si="66"/>
        <v>669.01</v>
      </c>
      <c r="AJ20" s="58">
        <f t="shared" si="67"/>
        <v>2386.42</v>
      </c>
      <c r="AK20" s="59">
        <f t="shared" si="68"/>
        <v>1603.41</v>
      </c>
      <c r="AL20" s="60">
        <f t="shared" si="69"/>
        <v>210.52</v>
      </c>
      <c r="AM20" s="61">
        <f t="shared" si="70"/>
        <v>373.5</v>
      </c>
      <c r="AN20" s="61"/>
      <c r="AO20" s="62">
        <f t="shared" si="71"/>
        <v>1016.6</v>
      </c>
      <c r="AP20" s="63">
        <f t="shared" si="72"/>
        <v>3055.4300000000003</v>
      </c>
      <c r="AQ20" s="64">
        <f t="shared" si="73"/>
        <v>948.09999999999991</v>
      </c>
      <c r="AR20" s="77"/>
      <c r="AS20" s="78">
        <f>AP19+AP20</f>
        <v>6208.2800000000007</v>
      </c>
      <c r="AV20" s="79" t="s">
        <v>35</v>
      </c>
      <c r="AW20" s="80">
        <f t="shared" si="74"/>
        <v>46035</v>
      </c>
      <c r="AX20" s="68">
        <f t="shared" ref="AX20:AX25" si="85">J20+K20+N20</f>
        <v>360.46000000000004</v>
      </c>
      <c r="AY20" s="68">
        <f t="shared" si="75"/>
        <v>308.54999999999995</v>
      </c>
      <c r="AZ20" s="69">
        <f t="shared" ref="AZ20:AZ25" si="86">T20+U20+X20</f>
        <v>1678.3700000000001</v>
      </c>
      <c r="BA20" s="69">
        <f t="shared" si="76"/>
        <v>708.05000000000007</v>
      </c>
      <c r="BB20" s="81">
        <f t="shared" si="77"/>
        <v>669.01</v>
      </c>
      <c r="BC20" s="82">
        <f t="shared" si="78"/>
        <v>2386.42</v>
      </c>
      <c r="BD20" s="81">
        <f t="shared" si="79"/>
        <v>2038.8300000000002</v>
      </c>
      <c r="BE20" s="82">
        <f t="shared" si="80"/>
        <v>1016.6</v>
      </c>
      <c r="BF20" s="83">
        <f t="shared" si="81"/>
        <v>3055.4300000000003</v>
      </c>
      <c r="BG20" s="84">
        <f t="shared" si="82"/>
        <v>948.09999999999991</v>
      </c>
      <c r="BH20" s="85">
        <f>BF19+BF20</f>
        <v>6208.2800000000007</v>
      </c>
      <c r="BP20" s="12"/>
    </row>
    <row r="21" spans="1:70" s="110" customFormat="1" ht="14.25" customHeight="1" x14ac:dyDescent="0.2">
      <c r="A21" s="107" t="s">
        <v>36</v>
      </c>
      <c r="B21" s="44">
        <v>46036</v>
      </c>
      <c r="C21" s="74">
        <v>6</v>
      </c>
      <c r="D21" s="74">
        <v>10</v>
      </c>
      <c r="E21" s="74"/>
      <c r="F21" s="75">
        <v>0</v>
      </c>
      <c r="G21" s="75">
        <v>0</v>
      </c>
      <c r="H21" s="75">
        <v>3</v>
      </c>
      <c r="I21" s="76">
        <f t="shared" si="61"/>
        <v>3</v>
      </c>
      <c r="J21" s="48">
        <v>501.51</v>
      </c>
      <c r="K21" s="49">
        <v>0</v>
      </c>
      <c r="L21" s="49">
        <v>26.19</v>
      </c>
      <c r="M21" s="49">
        <v>24.4</v>
      </c>
      <c r="N21" s="49">
        <v>0</v>
      </c>
      <c r="O21" s="49"/>
      <c r="P21" s="49">
        <v>90</v>
      </c>
      <c r="Q21" s="51">
        <v>591.51</v>
      </c>
      <c r="R21" s="52">
        <f>Q21-J21-K21-N21-O21</f>
        <v>90</v>
      </c>
      <c r="S21" s="116"/>
      <c r="T21" s="48">
        <v>1703.38</v>
      </c>
      <c r="U21" s="49">
        <v>235.29</v>
      </c>
      <c r="V21" s="49">
        <v>0</v>
      </c>
      <c r="W21" s="49">
        <v>19.899999999999999</v>
      </c>
      <c r="X21" s="49">
        <v>687</v>
      </c>
      <c r="Y21" s="49"/>
      <c r="Z21" s="49">
        <v>238.7</v>
      </c>
      <c r="AA21" s="51">
        <v>2940.87</v>
      </c>
      <c r="AB21" s="53">
        <f t="shared" si="84"/>
        <v>315.19999999999982</v>
      </c>
      <c r="AC21" s="54"/>
      <c r="AD21" s="55">
        <f t="shared" si="62"/>
        <v>2204.8900000000003</v>
      </c>
      <c r="AE21" s="50">
        <f t="shared" si="63"/>
        <v>235.29</v>
      </c>
      <c r="AF21" s="50">
        <f t="shared" si="64"/>
        <v>687</v>
      </c>
      <c r="AG21" s="50"/>
      <c r="AH21" s="56">
        <f t="shared" si="65"/>
        <v>405.19999999999982</v>
      </c>
      <c r="AI21" s="57">
        <f t="shared" si="66"/>
        <v>591.51</v>
      </c>
      <c r="AJ21" s="58">
        <f t="shared" si="67"/>
        <v>2940.87</v>
      </c>
      <c r="AK21" s="59">
        <f t="shared" si="68"/>
        <v>2204.8900000000003</v>
      </c>
      <c r="AL21" s="60">
        <f t="shared" si="69"/>
        <v>305.77999999999997</v>
      </c>
      <c r="AM21" s="61">
        <f t="shared" si="70"/>
        <v>687</v>
      </c>
      <c r="AN21" s="61"/>
      <c r="AO21" s="62">
        <f t="shared" si="71"/>
        <v>405.19999999999982</v>
      </c>
      <c r="AP21" s="63">
        <f t="shared" si="72"/>
        <v>3532.38</v>
      </c>
      <c r="AQ21" s="64">
        <f t="shared" si="73"/>
        <v>328.7</v>
      </c>
      <c r="AR21" s="77"/>
      <c r="AS21" s="78">
        <f>AP20+AP21</f>
        <v>6587.81</v>
      </c>
      <c r="AV21" s="111" t="s">
        <v>36</v>
      </c>
      <c r="AW21" s="112">
        <f t="shared" si="74"/>
        <v>46036</v>
      </c>
      <c r="AX21" s="69">
        <f t="shared" si="85"/>
        <v>501.51</v>
      </c>
      <c r="AY21" s="69">
        <f t="shared" si="75"/>
        <v>90</v>
      </c>
      <c r="AZ21" s="69">
        <f t="shared" si="86"/>
        <v>2625.67</v>
      </c>
      <c r="BA21" s="69">
        <f t="shared" si="76"/>
        <v>315.19999999999982</v>
      </c>
      <c r="BB21" s="81">
        <f t="shared" si="77"/>
        <v>591.51</v>
      </c>
      <c r="BC21" s="82">
        <f t="shared" si="78"/>
        <v>2940.87</v>
      </c>
      <c r="BD21" s="81">
        <f t="shared" si="79"/>
        <v>3127.1800000000003</v>
      </c>
      <c r="BE21" s="82">
        <f t="shared" si="80"/>
        <v>405.19999999999982</v>
      </c>
      <c r="BF21" s="83">
        <f t="shared" si="81"/>
        <v>3532.38</v>
      </c>
      <c r="BG21" s="84">
        <f t="shared" si="82"/>
        <v>328.7</v>
      </c>
      <c r="BH21" s="109">
        <f>BH20+BF21</f>
        <v>9740.66</v>
      </c>
      <c r="BP21" s="113"/>
    </row>
    <row r="22" spans="1:70" s="8" customFormat="1" ht="14.25" customHeight="1" x14ac:dyDescent="0.2">
      <c r="A22" s="43" t="s">
        <v>37</v>
      </c>
      <c r="B22" s="44">
        <v>46037</v>
      </c>
      <c r="C22" s="74">
        <v>1</v>
      </c>
      <c r="D22" s="74">
        <v>8</v>
      </c>
      <c r="E22" s="74"/>
      <c r="F22" s="75">
        <v>0</v>
      </c>
      <c r="G22" s="75">
        <v>1</v>
      </c>
      <c r="H22" s="75">
        <v>4</v>
      </c>
      <c r="I22" s="76">
        <f t="shared" si="61"/>
        <v>5</v>
      </c>
      <c r="J22" s="48">
        <v>523.96</v>
      </c>
      <c r="K22" s="49">
        <v>0</v>
      </c>
      <c r="L22" s="49">
        <v>0</v>
      </c>
      <c r="M22" s="49">
        <v>0</v>
      </c>
      <c r="N22" s="49">
        <v>0</v>
      </c>
      <c r="O22" s="49"/>
      <c r="P22" s="49">
        <v>430.95</v>
      </c>
      <c r="Q22" s="51">
        <v>954.91</v>
      </c>
      <c r="R22" s="52">
        <f t="shared" si="83"/>
        <v>430.94999999999993</v>
      </c>
      <c r="S22" s="116"/>
      <c r="T22" s="48">
        <v>1333.31</v>
      </c>
      <c r="U22" s="49">
        <v>70.5</v>
      </c>
      <c r="V22" s="49">
        <v>0</v>
      </c>
      <c r="W22" s="49">
        <v>0</v>
      </c>
      <c r="X22" s="49">
        <v>489.8</v>
      </c>
      <c r="Y22" s="49"/>
      <c r="Z22" s="49">
        <v>1078.25</v>
      </c>
      <c r="AA22" s="51">
        <v>3056.86</v>
      </c>
      <c r="AB22" s="53">
        <f t="shared" si="84"/>
        <v>1163.2500000000002</v>
      </c>
      <c r="AC22" s="54"/>
      <c r="AD22" s="55">
        <f t="shared" si="62"/>
        <v>1857.27</v>
      </c>
      <c r="AE22" s="50">
        <f t="shared" si="63"/>
        <v>70.5</v>
      </c>
      <c r="AF22" s="50">
        <f t="shared" si="64"/>
        <v>489.8</v>
      </c>
      <c r="AG22" s="50"/>
      <c r="AH22" s="56">
        <f t="shared" si="65"/>
        <v>1594.2000000000003</v>
      </c>
      <c r="AI22" s="57">
        <f t="shared" si="66"/>
        <v>954.91</v>
      </c>
      <c r="AJ22" s="58">
        <f t="shared" si="67"/>
        <v>3056.86</v>
      </c>
      <c r="AK22" s="59">
        <f t="shared" si="68"/>
        <v>1857.27</v>
      </c>
      <c r="AL22" s="60">
        <f t="shared" si="69"/>
        <v>70.5</v>
      </c>
      <c r="AM22" s="61">
        <f t="shared" si="70"/>
        <v>489.8</v>
      </c>
      <c r="AN22" s="61"/>
      <c r="AO22" s="62">
        <f t="shared" si="71"/>
        <v>1594.2000000000003</v>
      </c>
      <c r="AP22" s="63">
        <f t="shared" si="72"/>
        <v>4011.77</v>
      </c>
      <c r="AQ22" s="64">
        <f t="shared" si="73"/>
        <v>1509.2</v>
      </c>
      <c r="AR22" s="86">
        <v>0.28299999999999997</v>
      </c>
      <c r="AS22" s="78">
        <f>AS21+AP22</f>
        <v>10599.58</v>
      </c>
      <c r="AV22" s="79" t="s">
        <v>37</v>
      </c>
      <c r="AW22" s="80">
        <f t="shared" si="74"/>
        <v>46037</v>
      </c>
      <c r="AX22" s="68">
        <f t="shared" si="85"/>
        <v>523.96</v>
      </c>
      <c r="AY22" s="68">
        <f t="shared" si="75"/>
        <v>430.94999999999993</v>
      </c>
      <c r="AZ22" s="69">
        <f t="shared" si="86"/>
        <v>1893.61</v>
      </c>
      <c r="BA22" s="69">
        <f t="shared" si="76"/>
        <v>1163.2500000000002</v>
      </c>
      <c r="BB22" s="81">
        <f t="shared" si="77"/>
        <v>954.91</v>
      </c>
      <c r="BC22" s="82">
        <f t="shared" si="78"/>
        <v>3056.86</v>
      </c>
      <c r="BD22" s="81">
        <f t="shared" si="79"/>
        <v>2417.5699999999997</v>
      </c>
      <c r="BE22" s="82">
        <f t="shared" si="80"/>
        <v>1594.2000000000003</v>
      </c>
      <c r="BF22" s="83">
        <f t="shared" si="81"/>
        <v>4011.77</v>
      </c>
      <c r="BG22" s="84">
        <f t="shared" si="82"/>
        <v>1509.2</v>
      </c>
      <c r="BH22" s="85">
        <f>BH21+BF22</f>
        <v>13752.43</v>
      </c>
      <c r="BP22" s="12"/>
    </row>
    <row r="23" spans="1:70" s="8" customFormat="1" ht="14.25" customHeight="1" x14ac:dyDescent="0.2">
      <c r="A23" s="43" t="s">
        <v>38</v>
      </c>
      <c r="B23" s="44">
        <v>46038</v>
      </c>
      <c r="C23" s="74">
        <v>4</v>
      </c>
      <c r="D23" s="74">
        <v>16</v>
      </c>
      <c r="E23" s="74"/>
      <c r="F23" s="75">
        <v>0</v>
      </c>
      <c r="G23" s="75">
        <v>0</v>
      </c>
      <c r="H23" s="75">
        <v>1</v>
      </c>
      <c r="I23" s="76">
        <f t="shared" si="61"/>
        <v>1</v>
      </c>
      <c r="J23" s="48">
        <v>669.29</v>
      </c>
      <c r="K23" s="49">
        <v>20.3</v>
      </c>
      <c r="L23" s="49">
        <v>0</v>
      </c>
      <c r="M23" s="49">
        <v>0</v>
      </c>
      <c r="N23" s="49">
        <v>111.5</v>
      </c>
      <c r="O23" s="49"/>
      <c r="P23" s="49">
        <v>333.9</v>
      </c>
      <c r="Q23" s="51">
        <v>1134.99</v>
      </c>
      <c r="R23" s="52">
        <f t="shared" si="83"/>
        <v>333.90000000000003</v>
      </c>
      <c r="S23" s="116"/>
      <c r="T23" s="48">
        <v>2202.67</v>
      </c>
      <c r="U23" s="49">
        <v>116.28</v>
      </c>
      <c r="V23" s="49">
        <v>131.34</v>
      </c>
      <c r="W23" s="49">
        <v>0</v>
      </c>
      <c r="X23" s="49">
        <v>946.9</v>
      </c>
      <c r="Y23" s="49"/>
      <c r="Z23" s="49">
        <v>983.45</v>
      </c>
      <c r="AA23" s="51">
        <v>4322.8</v>
      </c>
      <c r="AB23" s="53">
        <f t="shared" si="84"/>
        <v>1056.9500000000003</v>
      </c>
      <c r="AC23" s="54"/>
      <c r="AD23" s="55">
        <f t="shared" si="62"/>
        <v>2871.96</v>
      </c>
      <c r="AE23" s="50">
        <f t="shared" si="63"/>
        <v>136.58000000000001</v>
      </c>
      <c r="AF23" s="50">
        <f t="shared" si="64"/>
        <v>1058.4000000000001</v>
      </c>
      <c r="AG23" s="50"/>
      <c r="AH23" s="56">
        <f t="shared" si="65"/>
        <v>1390.8500000000004</v>
      </c>
      <c r="AI23" s="57">
        <f t="shared" si="66"/>
        <v>1134.99</v>
      </c>
      <c r="AJ23" s="58">
        <f t="shared" si="67"/>
        <v>4322.8</v>
      </c>
      <c r="AK23" s="59">
        <f t="shared" si="68"/>
        <v>2871.96</v>
      </c>
      <c r="AL23" s="60">
        <f t="shared" si="69"/>
        <v>267.92</v>
      </c>
      <c r="AM23" s="61">
        <f t="shared" si="70"/>
        <v>1058.4000000000001</v>
      </c>
      <c r="AN23" s="61"/>
      <c r="AO23" s="62">
        <f t="shared" si="71"/>
        <v>1390.8500000000004</v>
      </c>
      <c r="AP23" s="63">
        <f t="shared" si="72"/>
        <v>5457.79</v>
      </c>
      <c r="AQ23" s="64">
        <f t="shared" si="73"/>
        <v>1317.35</v>
      </c>
      <c r="AR23" s="87" t="s">
        <v>39</v>
      </c>
      <c r="AS23" s="78">
        <f>AS22+AP23</f>
        <v>16057.369999999999</v>
      </c>
      <c r="AV23" s="79" t="s">
        <v>38</v>
      </c>
      <c r="AW23" s="80">
        <f t="shared" si="74"/>
        <v>46038</v>
      </c>
      <c r="AX23" s="68">
        <f t="shared" si="85"/>
        <v>801.08999999999992</v>
      </c>
      <c r="AY23" s="68">
        <f t="shared" si="75"/>
        <v>333.90000000000003</v>
      </c>
      <c r="AZ23" s="69">
        <f t="shared" si="86"/>
        <v>3265.8500000000004</v>
      </c>
      <c r="BA23" s="69">
        <f t="shared" si="76"/>
        <v>1056.9500000000003</v>
      </c>
      <c r="BB23" s="81">
        <f t="shared" si="77"/>
        <v>1134.99</v>
      </c>
      <c r="BC23" s="82">
        <f t="shared" si="78"/>
        <v>4322.8000000000011</v>
      </c>
      <c r="BD23" s="81">
        <f t="shared" si="79"/>
        <v>4066.9400000000005</v>
      </c>
      <c r="BE23" s="82">
        <f t="shared" si="80"/>
        <v>1390.8500000000004</v>
      </c>
      <c r="BF23" s="83">
        <f t="shared" si="81"/>
        <v>5457.7900000000009</v>
      </c>
      <c r="BG23" s="84">
        <f t="shared" si="82"/>
        <v>1317.35</v>
      </c>
      <c r="BH23" s="85">
        <f>BH22+BF23</f>
        <v>19210.22</v>
      </c>
      <c r="BP23" s="12"/>
      <c r="BR23" s="88"/>
    </row>
    <row r="24" spans="1:70" s="8" customFormat="1" ht="14.25" customHeight="1" x14ac:dyDescent="0.2">
      <c r="A24" s="43" t="s">
        <v>40</v>
      </c>
      <c r="B24" s="44">
        <v>46039</v>
      </c>
      <c r="C24" s="74">
        <v>14</v>
      </c>
      <c r="D24" s="74">
        <v>10</v>
      </c>
      <c r="E24" s="74"/>
      <c r="F24" s="75">
        <v>0</v>
      </c>
      <c r="G24" s="75">
        <v>1</v>
      </c>
      <c r="H24" s="75">
        <v>7</v>
      </c>
      <c r="I24" s="76">
        <f t="shared" si="61"/>
        <v>8</v>
      </c>
      <c r="J24" s="48">
        <v>1166.4100000000001</v>
      </c>
      <c r="K24" s="49">
        <v>0</v>
      </c>
      <c r="L24" s="49">
        <v>0</v>
      </c>
      <c r="M24" s="49">
        <v>0</v>
      </c>
      <c r="N24" s="49">
        <v>0</v>
      </c>
      <c r="O24" s="49"/>
      <c r="P24" s="49">
        <v>40.299999999999997</v>
      </c>
      <c r="Q24" s="51">
        <v>1206.71</v>
      </c>
      <c r="R24" s="52">
        <f t="shared" si="83"/>
        <v>40.299999999999955</v>
      </c>
      <c r="S24" s="116"/>
      <c r="T24" s="48">
        <v>2863.16</v>
      </c>
      <c r="U24" s="49">
        <v>610.80999999999995</v>
      </c>
      <c r="V24" s="49">
        <v>430.71</v>
      </c>
      <c r="W24" s="49">
        <v>97.85</v>
      </c>
      <c r="X24" s="49">
        <v>555.70000000000005</v>
      </c>
      <c r="Y24" s="49"/>
      <c r="Z24" s="49">
        <v>1070.25</v>
      </c>
      <c r="AA24" s="51">
        <v>5201.42</v>
      </c>
      <c r="AB24" s="53">
        <f t="shared" si="84"/>
        <v>1171.7500000000002</v>
      </c>
      <c r="AC24" s="54"/>
      <c r="AD24" s="55">
        <f t="shared" si="62"/>
        <v>4029.5699999999997</v>
      </c>
      <c r="AE24" s="50">
        <f t="shared" si="63"/>
        <v>610.80999999999995</v>
      </c>
      <c r="AF24" s="50">
        <f t="shared" si="64"/>
        <v>555.70000000000005</v>
      </c>
      <c r="AG24" s="50"/>
      <c r="AH24" s="56">
        <f t="shared" si="65"/>
        <v>1212.0500000000002</v>
      </c>
      <c r="AI24" s="57">
        <f t="shared" si="66"/>
        <v>1206.71</v>
      </c>
      <c r="AJ24" s="58">
        <f t="shared" si="67"/>
        <v>5201.42</v>
      </c>
      <c r="AK24" s="59">
        <f t="shared" si="68"/>
        <v>4029.5699999999997</v>
      </c>
      <c r="AL24" s="60">
        <f t="shared" si="69"/>
        <v>1139.3699999999999</v>
      </c>
      <c r="AM24" s="61">
        <f t="shared" si="70"/>
        <v>555.70000000000005</v>
      </c>
      <c r="AN24" s="61"/>
      <c r="AO24" s="62">
        <f t="shared" si="71"/>
        <v>1212.0500000000002</v>
      </c>
      <c r="AP24" s="63">
        <f t="shared" si="72"/>
        <v>6408.13</v>
      </c>
      <c r="AQ24" s="64">
        <f t="shared" si="73"/>
        <v>1110.55</v>
      </c>
      <c r="AR24" s="89"/>
      <c r="AS24" s="78">
        <f>AS23+AP24</f>
        <v>22465.5</v>
      </c>
      <c r="AV24" s="79" t="s">
        <v>40</v>
      </c>
      <c r="AW24" s="80">
        <f t="shared" si="74"/>
        <v>46039</v>
      </c>
      <c r="AX24" s="68">
        <f t="shared" si="85"/>
        <v>1166.4100000000001</v>
      </c>
      <c r="AY24" s="68">
        <f t="shared" si="75"/>
        <v>40.299999999999955</v>
      </c>
      <c r="AZ24" s="69">
        <f t="shared" si="86"/>
        <v>4029.67</v>
      </c>
      <c r="BA24" s="69">
        <f t="shared" si="76"/>
        <v>1171.7500000000002</v>
      </c>
      <c r="BB24" s="81">
        <f t="shared" si="77"/>
        <v>1206.71</v>
      </c>
      <c r="BC24" s="82">
        <f t="shared" si="78"/>
        <v>5201.42</v>
      </c>
      <c r="BD24" s="81">
        <f t="shared" si="79"/>
        <v>5196.08</v>
      </c>
      <c r="BE24" s="82">
        <f t="shared" si="80"/>
        <v>1212.0500000000002</v>
      </c>
      <c r="BF24" s="83">
        <f t="shared" si="81"/>
        <v>6408.13</v>
      </c>
      <c r="BG24" s="84">
        <f t="shared" si="82"/>
        <v>1110.55</v>
      </c>
      <c r="BH24" s="85">
        <f>BH23+BF24</f>
        <v>25618.350000000002</v>
      </c>
      <c r="BP24" s="12"/>
    </row>
    <row r="25" spans="1:70" s="8" customFormat="1" ht="14.25" customHeight="1" x14ac:dyDescent="0.2">
      <c r="A25" s="43" t="s">
        <v>41</v>
      </c>
      <c r="B25" s="44">
        <v>46040</v>
      </c>
      <c r="C25" s="74">
        <v>4</v>
      </c>
      <c r="D25" s="74">
        <v>11</v>
      </c>
      <c r="E25" s="74"/>
      <c r="F25" s="75">
        <v>1</v>
      </c>
      <c r="G25" s="75">
        <v>2</v>
      </c>
      <c r="H25" s="75">
        <v>1</v>
      </c>
      <c r="I25" s="76">
        <f t="shared" si="61"/>
        <v>4</v>
      </c>
      <c r="J25" s="48">
        <v>590.03</v>
      </c>
      <c r="K25" s="49">
        <v>0</v>
      </c>
      <c r="L25" s="49">
        <v>0</v>
      </c>
      <c r="M25" s="49">
        <v>54.91</v>
      </c>
      <c r="N25" s="49">
        <v>98.5</v>
      </c>
      <c r="O25" s="49"/>
      <c r="P25" s="49">
        <v>256.20999999999998</v>
      </c>
      <c r="Q25" s="51">
        <v>944.74</v>
      </c>
      <c r="R25" s="52">
        <f t="shared" si="83"/>
        <v>256.21000000000004</v>
      </c>
      <c r="S25" s="116"/>
      <c r="T25" s="48">
        <v>1653.56</v>
      </c>
      <c r="U25" s="49">
        <v>45.64</v>
      </c>
      <c r="V25" s="49">
        <v>202.34</v>
      </c>
      <c r="W25" s="49">
        <v>20.2</v>
      </c>
      <c r="X25" s="49">
        <v>488.3</v>
      </c>
      <c r="Y25" s="49"/>
      <c r="Z25" s="49">
        <v>179.35</v>
      </c>
      <c r="AA25" s="51">
        <v>2459.35</v>
      </c>
      <c r="AB25" s="53">
        <f t="shared" si="84"/>
        <v>271.84999999999997</v>
      </c>
      <c r="AC25" s="54"/>
      <c r="AD25" s="55">
        <f t="shared" si="62"/>
        <v>2243.59</v>
      </c>
      <c r="AE25" s="50">
        <f t="shared" si="63"/>
        <v>45.64</v>
      </c>
      <c r="AF25" s="50">
        <f t="shared" si="64"/>
        <v>586.79999999999995</v>
      </c>
      <c r="AG25" s="50"/>
      <c r="AH25" s="56">
        <f t="shared" si="65"/>
        <v>528.05999999999995</v>
      </c>
      <c r="AI25" s="57">
        <f t="shared" si="66"/>
        <v>944.74</v>
      </c>
      <c r="AJ25" s="58">
        <f t="shared" si="67"/>
        <v>2459.35</v>
      </c>
      <c r="AK25" s="59">
        <f t="shared" si="68"/>
        <v>2243.59</v>
      </c>
      <c r="AL25" s="60">
        <f t="shared" si="69"/>
        <v>323.08999999999997</v>
      </c>
      <c r="AM25" s="61">
        <f t="shared" si="70"/>
        <v>586.79999999999995</v>
      </c>
      <c r="AN25" s="61"/>
      <c r="AO25" s="62">
        <f t="shared" si="71"/>
        <v>528.05999999999995</v>
      </c>
      <c r="AP25" s="63">
        <f t="shared" si="72"/>
        <v>3404.09</v>
      </c>
      <c r="AQ25" s="64">
        <f t="shared" si="73"/>
        <v>435.55999999999995</v>
      </c>
      <c r="AR25" s="90">
        <f>AR24-AM26</f>
        <v>-4166</v>
      </c>
      <c r="AS25" s="78">
        <f>AS24+AP25</f>
        <v>25869.59</v>
      </c>
      <c r="AV25" s="79" t="s">
        <v>41</v>
      </c>
      <c r="AW25" s="80">
        <f t="shared" si="74"/>
        <v>46040</v>
      </c>
      <c r="AX25" s="68">
        <f t="shared" si="85"/>
        <v>688.53</v>
      </c>
      <c r="AY25" s="68">
        <f t="shared" si="75"/>
        <v>256.21000000000004</v>
      </c>
      <c r="AZ25" s="69">
        <f t="shared" si="86"/>
        <v>2187.5</v>
      </c>
      <c r="BA25" s="69">
        <f t="shared" si="76"/>
        <v>271.84999999999997</v>
      </c>
      <c r="BB25" s="81">
        <f t="shared" si="77"/>
        <v>944.74</v>
      </c>
      <c r="BC25" s="82">
        <f t="shared" si="78"/>
        <v>2459.35</v>
      </c>
      <c r="BD25" s="81">
        <f t="shared" si="79"/>
        <v>2876.0299999999997</v>
      </c>
      <c r="BE25" s="82">
        <f t="shared" si="80"/>
        <v>528.05999999999995</v>
      </c>
      <c r="BF25" s="83">
        <f t="shared" si="81"/>
        <v>3404.0899999999997</v>
      </c>
      <c r="BG25" s="84">
        <f t="shared" si="82"/>
        <v>435.55999999999995</v>
      </c>
      <c r="BH25" s="85">
        <f>BH24+BF25</f>
        <v>29022.440000000002</v>
      </c>
      <c r="BP25" s="12"/>
    </row>
    <row r="26" spans="1:70" s="105" customFormat="1" ht="14.25" customHeight="1" thickBot="1" x14ac:dyDescent="0.25">
      <c r="A26" s="91" t="s">
        <v>42</v>
      </c>
      <c r="B26" s="91"/>
      <c r="C26" s="92">
        <f>SUM(C19:C25)</f>
        <v>37</v>
      </c>
      <c r="D26" s="93">
        <f>SUM(D19:D25)</f>
        <v>72</v>
      </c>
      <c r="E26" s="14">
        <f>SUM(E19:E25)</f>
        <v>0</v>
      </c>
      <c r="F26" s="523">
        <f>SUM(I19:I25)</f>
        <v>25</v>
      </c>
      <c r="G26" s="524"/>
      <c r="H26" s="524"/>
      <c r="I26" s="387">
        <f>SUM(C26:H26)</f>
        <v>134</v>
      </c>
      <c r="J26" s="94">
        <f t="shared" ref="J26:R26" si="87">SUM(J19:J25)</f>
        <v>4204.2199999999993</v>
      </c>
      <c r="K26" s="95">
        <f t="shared" si="87"/>
        <v>20.3</v>
      </c>
      <c r="L26" s="95">
        <f t="shared" si="87"/>
        <v>42.33</v>
      </c>
      <c r="M26" s="95">
        <f t="shared" si="87"/>
        <v>79.31</v>
      </c>
      <c r="N26" s="95">
        <f t="shared" si="87"/>
        <v>429.2</v>
      </c>
      <c r="O26" s="95"/>
      <c r="P26" s="95">
        <f t="shared" si="87"/>
        <v>1527.51</v>
      </c>
      <c r="Q26" s="96">
        <f t="shared" si="87"/>
        <v>6181.23</v>
      </c>
      <c r="R26" s="97">
        <f t="shared" si="87"/>
        <v>1527.51</v>
      </c>
      <c r="S26" s="117"/>
      <c r="T26" s="94">
        <f t="shared" ref="T26:AA26" si="88">SUM(T19:T25)</f>
        <v>12480.75</v>
      </c>
      <c r="U26" s="95">
        <f t="shared" si="88"/>
        <v>1333.36</v>
      </c>
      <c r="V26" s="95">
        <f t="shared" si="88"/>
        <v>983.49000000000012</v>
      </c>
      <c r="W26" s="95">
        <f t="shared" si="88"/>
        <v>137.94999999999999</v>
      </c>
      <c r="X26" s="95">
        <f t="shared" si="88"/>
        <v>3736.8</v>
      </c>
      <c r="Y26" s="95"/>
      <c r="Z26" s="95">
        <f t="shared" si="88"/>
        <v>4714.3</v>
      </c>
      <c r="AA26" s="96">
        <f t="shared" si="88"/>
        <v>22841.21</v>
      </c>
      <c r="AB26" s="98">
        <f>SUM(AB19:AB25)</f>
        <v>5290.3000000000011</v>
      </c>
      <c r="AC26" s="99"/>
      <c r="AD26" s="100">
        <f t="shared" ref="AD26:AP26" si="89">SUM(AD19:AD25)</f>
        <v>16684.97</v>
      </c>
      <c r="AE26" s="95">
        <f t="shared" si="89"/>
        <v>1353.66</v>
      </c>
      <c r="AF26" s="95">
        <f t="shared" si="89"/>
        <v>4166</v>
      </c>
      <c r="AG26" s="95"/>
      <c r="AH26" s="95">
        <f t="shared" si="89"/>
        <v>6817.8100000000013</v>
      </c>
      <c r="AI26" s="95">
        <f t="shared" si="89"/>
        <v>6181.23</v>
      </c>
      <c r="AJ26" s="95">
        <f t="shared" si="89"/>
        <v>22841.21</v>
      </c>
      <c r="AK26" s="101">
        <f t="shared" si="89"/>
        <v>16684.97</v>
      </c>
      <c r="AL26" s="95">
        <f t="shared" si="89"/>
        <v>2596.7399999999998</v>
      </c>
      <c r="AM26" s="95">
        <f t="shared" si="89"/>
        <v>4166</v>
      </c>
      <c r="AN26" s="95"/>
      <c r="AO26" s="95">
        <f t="shared" si="89"/>
        <v>6817.8100000000013</v>
      </c>
      <c r="AP26" s="95">
        <f t="shared" si="89"/>
        <v>29022.440000000002</v>
      </c>
      <c r="AQ26" s="102">
        <f>SUM(AQ19:AQ25)</f>
        <v>6241.8099999999995</v>
      </c>
      <c r="AR26" s="103">
        <f>AR25</f>
        <v>-4166</v>
      </c>
      <c r="AS26" s="104">
        <f>AP26+AR26</f>
        <v>24856.440000000002</v>
      </c>
      <c r="AV26" s="525" t="s">
        <v>42</v>
      </c>
      <c r="AW26" s="526"/>
      <c r="AX26" s="95">
        <f t="shared" ref="AX26:BD26" si="90">SUM(AX19:AX25)</f>
        <v>4653.7199999999993</v>
      </c>
      <c r="AY26" s="95">
        <f t="shared" si="90"/>
        <v>1527.51</v>
      </c>
      <c r="AZ26" s="95">
        <f t="shared" si="90"/>
        <v>17550.910000000003</v>
      </c>
      <c r="BA26" s="95">
        <f t="shared" si="90"/>
        <v>5290.3000000000011</v>
      </c>
      <c r="BB26" s="95">
        <f t="shared" si="90"/>
        <v>6181.23</v>
      </c>
      <c r="BC26" s="95">
        <f t="shared" si="90"/>
        <v>22841.21</v>
      </c>
      <c r="BD26" s="95">
        <f t="shared" si="90"/>
        <v>22204.629999999997</v>
      </c>
      <c r="BE26" s="95">
        <f>SUM(BE19:BE25)</f>
        <v>6817.8100000000013</v>
      </c>
      <c r="BF26" s="95">
        <f t="shared" ref="BF26:BG26" si="91">SUM(BF19:BF25)</f>
        <v>29022.440000000002</v>
      </c>
      <c r="BG26" s="95">
        <f t="shared" si="91"/>
        <v>6241.8099999999995</v>
      </c>
      <c r="BP26" s="106"/>
    </row>
    <row r="27" spans="1:70" s="8" customFormat="1" ht="14.25" customHeight="1" x14ac:dyDescent="0.2">
      <c r="A27" s="43" t="s">
        <v>34</v>
      </c>
      <c r="B27" s="44">
        <v>46041</v>
      </c>
      <c r="C27" s="45">
        <v>2</v>
      </c>
      <c r="D27" s="45">
        <v>7</v>
      </c>
      <c r="E27" s="45"/>
      <c r="F27" s="46">
        <v>0</v>
      </c>
      <c r="G27" s="46">
        <v>0</v>
      </c>
      <c r="H27" s="46">
        <v>3</v>
      </c>
      <c r="I27" s="47">
        <f t="shared" ref="I27:I33" si="92">SUM(F27:H27)</f>
        <v>3</v>
      </c>
      <c r="J27" s="48">
        <v>672.44</v>
      </c>
      <c r="K27" s="49">
        <v>24.28</v>
      </c>
      <c r="L27" s="49">
        <v>0</v>
      </c>
      <c r="M27" s="49">
        <v>0</v>
      </c>
      <c r="N27" s="49">
        <v>46.8</v>
      </c>
      <c r="O27" s="49"/>
      <c r="P27" s="49">
        <v>176.65</v>
      </c>
      <c r="Q27" s="51">
        <v>967.12</v>
      </c>
      <c r="R27" s="52">
        <f>Q27-J27-K27-N27-O27</f>
        <v>223.59999999999997</v>
      </c>
      <c r="S27" s="116"/>
      <c r="T27" s="48">
        <v>1214.1600000000001</v>
      </c>
      <c r="U27" s="49">
        <v>86.23</v>
      </c>
      <c r="V27" s="49">
        <v>0</v>
      </c>
      <c r="W27" s="49">
        <v>0</v>
      </c>
      <c r="X27" s="49">
        <v>428.6</v>
      </c>
      <c r="Y27" s="49"/>
      <c r="Z27" s="49">
        <v>316.60000000000002</v>
      </c>
      <c r="AA27" s="51">
        <v>2121.09</v>
      </c>
      <c r="AB27" s="53">
        <f>AA27-T27-U27-X27-Y27</f>
        <v>392.1</v>
      </c>
      <c r="AC27" s="54"/>
      <c r="AD27" s="55">
        <f t="shared" ref="AD27:AD33" si="93">T27+J27</f>
        <v>1886.6000000000001</v>
      </c>
      <c r="AE27" s="50">
        <f t="shared" ref="AE27:AE33" si="94">K27+U27</f>
        <v>110.51</v>
      </c>
      <c r="AF27" s="50">
        <f t="shared" ref="AF27:AF33" si="95">N27+X27</f>
        <v>475.40000000000003</v>
      </c>
      <c r="AG27" s="50"/>
      <c r="AH27" s="56">
        <f t="shared" ref="AH27:AH33" si="96">R27+AB27</f>
        <v>615.70000000000005</v>
      </c>
      <c r="AI27" s="57">
        <f t="shared" ref="AI27:AI33" si="97">Q27</f>
        <v>967.12</v>
      </c>
      <c r="AJ27" s="58">
        <f t="shared" ref="AJ27:AJ33" si="98">AA27</f>
        <v>2121.09</v>
      </c>
      <c r="AK27" s="59">
        <f t="shared" ref="AK27:AK33" si="99">AD27</f>
        <v>1886.6000000000001</v>
      </c>
      <c r="AL27" s="60">
        <f t="shared" ref="AL27:AL33" si="100">K27+L27+M27+U27+V27+W27</f>
        <v>110.51</v>
      </c>
      <c r="AM27" s="61">
        <f t="shared" ref="AM27:AM33" si="101">N27+X27</f>
        <v>475.40000000000003</v>
      </c>
      <c r="AN27" s="61"/>
      <c r="AO27" s="62">
        <f t="shared" ref="AO27:AO33" si="102">R27+AB27</f>
        <v>615.70000000000005</v>
      </c>
      <c r="AP27" s="63">
        <f t="shared" ref="AP27:AP33" si="103">AI27+AJ27</f>
        <v>3088.21</v>
      </c>
      <c r="AQ27" s="64">
        <f t="shared" ref="AQ27:AQ33" si="104">P27+Z27</f>
        <v>493.25</v>
      </c>
      <c r="AR27" s="65"/>
      <c r="AS27" s="33"/>
      <c r="AV27" s="66" t="s">
        <v>34</v>
      </c>
      <c r="AW27" s="67">
        <f t="shared" ref="AW27:AW33" si="105">B27</f>
        <v>46041</v>
      </c>
      <c r="AX27" s="68">
        <f>J27+K27+N27</f>
        <v>743.52</v>
      </c>
      <c r="AY27" s="68">
        <f t="shared" ref="AY27:AY33" si="106">R27</f>
        <v>223.59999999999997</v>
      </c>
      <c r="AZ27" s="69">
        <f>T27+U27+X27</f>
        <v>1728.9900000000002</v>
      </c>
      <c r="BA27" s="69">
        <f t="shared" ref="BA27:BA33" si="107">AB27</f>
        <v>392.1</v>
      </c>
      <c r="BB27" s="70">
        <f t="shared" ref="BB27:BB33" si="108">AX27+AY27</f>
        <v>967.11999999999989</v>
      </c>
      <c r="BC27" s="71">
        <f t="shared" ref="BC27:BC33" si="109">AZ27+BA27</f>
        <v>2121.09</v>
      </c>
      <c r="BD27" s="70">
        <f t="shared" ref="BD27:BD33" si="110">AX27+AZ27</f>
        <v>2472.5100000000002</v>
      </c>
      <c r="BE27" s="71">
        <f t="shared" ref="BE27:BE33" si="111">AY27+BA27</f>
        <v>615.70000000000005</v>
      </c>
      <c r="BF27" s="72">
        <f t="shared" ref="BF27:BF33" si="112">BD27+BE27</f>
        <v>3088.21</v>
      </c>
      <c r="BG27" s="73">
        <f t="shared" ref="BG27:BG33" si="113">AQ27</f>
        <v>493.25</v>
      </c>
      <c r="BP27" s="12"/>
    </row>
    <row r="28" spans="1:70" s="8" customFormat="1" ht="14.25" customHeight="1" x14ac:dyDescent="0.2">
      <c r="A28" s="43" t="s">
        <v>35</v>
      </c>
      <c r="B28" s="44">
        <v>46042</v>
      </c>
      <c r="C28" s="74">
        <v>3</v>
      </c>
      <c r="D28" s="74">
        <v>3</v>
      </c>
      <c r="E28" s="74"/>
      <c r="F28" s="75">
        <v>0</v>
      </c>
      <c r="G28" s="75">
        <v>0</v>
      </c>
      <c r="H28" s="75">
        <v>3</v>
      </c>
      <c r="I28" s="76">
        <f t="shared" si="92"/>
        <v>3</v>
      </c>
      <c r="J28" s="48">
        <v>221.07</v>
      </c>
      <c r="K28" s="49">
        <v>0</v>
      </c>
      <c r="L28" s="49">
        <v>0</v>
      </c>
      <c r="M28" s="49">
        <v>0</v>
      </c>
      <c r="N28" s="49">
        <v>0</v>
      </c>
      <c r="O28" s="49"/>
      <c r="P28" s="49">
        <v>219.35</v>
      </c>
      <c r="Q28" s="51">
        <v>440.62</v>
      </c>
      <c r="R28" s="52">
        <f t="shared" ref="R28:R33" si="114">Q28-J28-K28-N28-O28</f>
        <v>219.55</v>
      </c>
      <c r="S28" s="116"/>
      <c r="T28" s="48">
        <v>1027.99</v>
      </c>
      <c r="U28" s="49">
        <v>160.12</v>
      </c>
      <c r="V28" s="49">
        <v>0</v>
      </c>
      <c r="W28" s="49">
        <v>51</v>
      </c>
      <c r="X28" s="49">
        <v>191.2</v>
      </c>
      <c r="Y28" s="49"/>
      <c r="Z28" s="49">
        <v>390.7</v>
      </c>
      <c r="AA28" s="51">
        <v>1844.71</v>
      </c>
      <c r="AB28" s="53">
        <f t="shared" ref="AB28:AB33" si="115">AA28-T28-U28-X28-Y28</f>
        <v>465.40000000000003</v>
      </c>
      <c r="AC28" s="54"/>
      <c r="AD28" s="55">
        <f t="shared" si="93"/>
        <v>1249.06</v>
      </c>
      <c r="AE28" s="50">
        <f t="shared" si="94"/>
        <v>160.12</v>
      </c>
      <c r="AF28" s="50">
        <f t="shared" si="95"/>
        <v>191.2</v>
      </c>
      <c r="AG28" s="50"/>
      <c r="AH28" s="56">
        <f t="shared" si="96"/>
        <v>684.95</v>
      </c>
      <c r="AI28" s="57">
        <f t="shared" si="97"/>
        <v>440.62</v>
      </c>
      <c r="AJ28" s="58">
        <f t="shared" si="98"/>
        <v>1844.71</v>
      </c>
      <c r="AK28" s="59">
        <f t="shared" si="99"/>
        <v>1249.06</v>
      </c>
      <c r="AL28" s="60">
        <f t="shared" si="100"/>
        <v>211.12</v>
      </c>
      <c r="AM28" s="61">
        <f t="shared" si="101"/>
        <v>191.2</v>
      </c>
      <c r="AN28" s="61"/>
      <c r="AO28" s="62">
        <f t="shared" si="102"/>
        <v>684.95</v>
      </c>
      <c r="AP28" s="63">
        <f t="shared" si="103"/>
        <v>2285.33</v>
      </c>
      <c r="AQ28" s="64">
        <f t="shared" si="104"/>
        <v>610.04999999999995</v>
      </c>
      <c r="AR28" s="77"/>
      <c r="AS28" s="78">
        <f>AP27+AP28</f>
        <v>5373.54</v>
      </c>
      <c r="AV28" s="79" t="s">
        <v>35</v>
      </c>
      <c r="AW28" s="80">
        <f t="shared" si="105"/>
        <v>46042</v>
      </c>
      <c r="AX28" s="68">
        <f t="shared" ref="AX28:AX33" si="116">J28+K28+N28</f>
        <v>221.07</v>
      </c>
      <c r="AY28" s="68">
        <f t="shared" si="106"/>
        <v>219.55</v>
      </c>
      <c r="AZ28" s="69">
        <f t="shared" ref="AZ28:AZ33" si="117">T28+U28+X28</f>
        <v>1379.3100000000002</v>
      </c>
      <c r="BA28" s="69">
        <f t="shared" si="107"/>
        <v>465.40000000000003</v>
      </c>
      <c r="BB28" s="81">
        <f t="shared" si="108"/>
        <v>440.62</v>
      </c>
      <c r="BC28" s="82">
        <f t="shared" si="109"/>
        <v>1844.7100000000003</v>
      </c>
      <c r="BD28" s="81">
        <f t="shared" si="110"/>
        <v>1600.38</v>
      </c>
      <c r="BE28" s="82">
        <f t="shared" si="111"/>
        <v>684.95</v>
      </c>
      <c r="BF28" s="83">
        <f t="shared" si="112"/>
        <v>2285.33</v>
      </c>
      <c r="BG28" s="84">
        <f t="shared" si="113"/>
        <v>610.04999999999995</v>
      </c>
      <c r="BH28" s="85">
        <f>BF27+BF28</f>
        <v>5373.54</v>
      </c>
      <c r="BP28" s="12"/>
    </row>
    <row r="29" spans="1:70" s="110" customFormat="1" ht="14.25" customHeight="1" x14ac:dyDescent="0.2">
      <c r="A29" s="107" t="s">
        <v>36</v>
      </c>
      <c r="B29" s="44">
        <v>46043</v>
      </c>
      <c r="C29" s="74">
        <v>2</v>
      </c>
      <c r="D29" s="74">
        <v>10</v>
      </c>
      <c r="E29" s="74"/>
      <c r="F29" s="75">
        <v>0</v>
      </c>
      <c r="G29" s="75">
        <v>0</v>
      </c>
      <c r="H29" s="75">
        <v>1</v>
      </c>
      <c r="I29" s="76">
        <f t="shared" si="92"/>
        <v>1</v>
      </c>
      <c r="J29" s="48">
        <v>902.88</v>
      </c>
      <c r="K29" s="49">
        <v>30.4</v>
      </c>
      <c r="L29" s="49">
        <v>28.22</v>
      </c>
      <c r="M29" s="49">
        <v>0</v>
      </c>
      <c r="N29" s="49">
        <v>77.599999999999994</v>
      </c>
      <c r="O29" s="49"/>
      <c r="P29" s="49">
        <v>518.65</v>
      </c>
      <c r="Q29" s="51">
        <v>1529.53</v>
      </c>
      <c r="R29" s="52">
        <f t="shared" si="114"/>
        <v>518.65</v>
      </c>
      <c r="S29" s="116"/>
      <c r="T29" s="48">
        <v>2062.79</v>
      </c>
      <c r="U29" s="49">
        <v>0</v>
      </c>
      <c r="V29" s="49">
        <v>0</v>
      </c>
      <c r="W29" s="49">
        <v>0</v>
      </c>
      <c r="X29" s="49">
        <v>555.20000000000005</v>
      </c>
      <c r="Y29" s="49"/>
      <c r="Z29" s="49">
        <v>605.25</v>
      </c>
      <c r="AA29" s="51">
        <v>3291.74</v>
      </c>
      <c r="AB29" s="53">
        <f t="shared" si="115"/>
        <v>673.74999999999977</v>
      </c>
      <c r="AC29" s="54"/>
      <c r="AD29" s="55">
        <f t="shared" si="93"/>
        <v>2965.67</v>
      </c>
      <c r="AE29" s="50">
        <f t="shared" si="94"/>
        <v>30.4</v>
      </c>
      <c r="AF29" s="50">
        <f t="shared" si="95"/>
        <v>632.80000000000007</v>
      </c>
      <c r="AG29" s="50"/>
      <c r="AH29" s="56">
        <f t="shared" si="96"/>
        <v>1192.3999999999996</v>
      </c>
      <c r="AI29" s="57">
        <f t="shared" si="97"/>
        <v>1529.53</v>
      </c>
      <c r="AJ29" s="58">
        <f t="shared" si="98"/>
        <v>3291.74</v>
      </c>
      <c r="AK29" s="59">
        <f t="shared" si="99"/>
        <v>2965.67</v>
      </c>
      <c r="AL29" s="60">
        <f t="shared" si="100"/>
        <v>58.62</v>
      </c>
      <c r="AM29" s="61">
        <f t="shared" si="101"/>
        <v>632.80000000000007</v>
      </c>
      <c r="AN29" s="61"/>
      <c r="AO29" s="62">
        <f t="shared" si="102"/>
        <v>1192.3999999999996</v>
      </c>
      <c r="AP29" s="63">
        <f t="shared" si="103"/>
        <v>4821.2699999999995</v>
      </c>
      <c r="AQ29" s="64">
        <f t="shared" si="104"/>
        <v>1123.9000000000001</v>
      </c>
      <c r="AR29" s="77"/>
      <c r="AS29" s="78">
        <f>AP28+AP29</f>
        <v>7106.5999999999995</v>
      </c>
      <c r="AV29" s="111" t="s">
        <v>36</v>
      </c>
      <c r="AW29" s="112">
        <f t="shared" si="105"/>
        <v>46043</v>
      </c>
      <c r="AX29" s="69">
        <f t="shared" si="116"/>
        <v>1010.88</v>
      </c>
      <c r="AY29" s="69">
        <f t="shared" si="106"/>
        <v>518.65</v>
      </c>
      <c r="AZ29" s="69">
        <f t="shared" si="117"/>
        <v>2617.9899999999998</v>
      </c>
      <c r="BA29" s="69">
        <f t="shared" si="107"/>
        <v>673.74999999999977</v>
      </c>
      <c r="BB29" s="81">
        <f t="shared" si="108"/>
        <v>1529.53</v>
      </c>
      <c r="BC29" s="82">
        <f t="shared" si="109"/>
        <v>3291.74</v>
      </c>
      <c r="BD29" s="81">
        <f t="shared" si="110"/>
        <v>3628.87</v>
      </c>
      <c r="BE29" s="82">
        <f t="shared" si="111"/>
        <v>1192.3999999999996</v>
      </c>
      <c r="BF29" s="83">
        <f t="shared" si="112"/>
        <v>4821.2699999999995</v>
      </c>
      <c r="BG29" s="84">
        <f t="shared" si="113"/>
        <v>1123.9000000000001</v>
      </c>
      <c r="BH29" s="109">
        <f>BH28+BF29</f>
        <v>10194.81</v>
      </c>
      <c r="BP29" s="113"/>
    </row>
    <row r="30" spans="1:70" s="8" customFormat="1" ht="14.25" customHeight="1" x14ac:dyDescent="0.2">
      <c r="A30" s="43" t="s">
        <v>37</v>
      </c>
      <c r="B30" s="44">
        <v>46044</v>
      </c>
      <c r="C30" s="74">
        <v>7</v>
      </c>
      <c r="D30" s="74">
        <v>8</v>
      </c>
      <c r="E30" s="74"/>
      <c r="F30" s="75">
        <v>0</v>
      </c>
      <c r="G30" s="75">
        <v>0</v>
      </c>
      <c r="H30" s="75">
        <v>6</v>
      </c>
      <c r="I30" s="76">
        <f t="shared" si="92"/>
        <v>6</v>
      </c>
      <c r="J30" s="48">
        <v>558.4</v>
      </c>
      <c r="K30" s="49">
        <v>0</v>
      </c>
      <c r="L30" s="49">
        <v>70.19</v>
      </c>
      <c r="M30" s="49">
        <v>0</v>
      </c>
      <c r="N30" s="49">
        <v>15.9</v>
      </c>
      <c r="O30" s="49"/>
      <c r="P30" s="49">
        <v>329.7</v>
      </c>
      <c r="Q30" s="51">
        <v>904</v>
      </c>
      <c r="R30" s="52">
        <f t="shared" si="114"/>
        <v>329.70000000000005</v>
      </c>
      <c r="S30" s="116"/>
      <c r="T30" s="48">
        <v>1631.79</v>
      </c>
      <c r="U30" s="49">
        <v>285.52</v>
      </c>
      <c r="V30" s="49">
        <v>190.01</v>
      </c>
      <c r="W30" s="49">
        <v>0</v>
      </c>
      <c r="X30" s="49">
        <v>320.10000000000002</v>
      </c>
      <c r="Y30" s="49"/>
      <c r="Z30" s="49">
        <v>145.80000000000001</v>
      </c>
      <c r="AA30" s="51">
        <v>2470.21</v>
      </c>
      <c r="AB30" s="53">
        <f t="shared" si="115"/>
        <v>232.80000000000007</v>
      </c>
      <c r="AC30" s="54"/>
      <c r="AD30" s="55">
        <f t="shared" si="93"/>
        <v>2190.19</v>
      </c>
      <c r="AE30" s="50">
        <f t="shared" si="94"/>
        <v>285.52</v>
      </c>
      <c r="AF30" s="50">
        <f t="shared" si="95"/>
        <v>336</v>
      </c>
      <c r="AG30" s="50"/>
      <c r="AH30" s="56">
        <f t="shared" si="96"/>
        <v>562.50000000000011</v>
      </c>
      <c r="AI30" s="57">
        <f t="shared" si="97"/>
        <v>904</v>
      </c>
      <c r="AJ30" s="58">
        <f t="shared" si="98"/>
        <v>2470.21</v>
      </c>
      <c r="AK30" s="59">
        <f t="shared" si="99"/>
        <v>2190.19</v>
      </c>
      <c r="AL30" s="60">
        <f t="shared" si="100"/>
        <v>545.72</v>
      </c>
      <c r="AM30" s="61">
        <f t="shared" si="101"/>
        <v>336</v>
      </c>
      <c r="AN30" s="61"/>
      <c r="AO30" s="62">
        <f t="shared" si="102"/>
        <v>562.50000000000011</v>
      </c>
      <c r="AP30" s="63">
        <f t="shared" si="103"/>
        <v>3374.21</v>
      </c>
      <c r="AQ30" s="64">
        <f t="shared" si="104"/>
        <v>475.5</v>
      </c>
      <c r="AR30" s="86">
        <v>0.28299999999999997</v>
      </c>
      <c r="AS30" s="78">
        <f>AS29+AP30</f>
        <v>10480.81</v>
      </c>
      <c r="AV30" s="79" t="s">
        <v>37</v>
      </c>
      <c r="AW30" s="80">
        <f t="shared" si="105"/>
        <v>46044</v>
      </c>
      <c r="AX30" s="68">
        <f t="shared" si="116"/>
        <v>574.29999999999995</v>
      </c>
      <c r="AY30" s="68">
        <f t="shared" si="106"/>
        <v>329.70000000000005</v>
      </c>
      <c r="AZ30" s="69">
        <f t="shared" si="117"/>
        <v>2237.41</v>
      </c>
      <c r="BA30" s="69">
        <f t="shared" si="107"/>
        <v>232.80000000000007</v>
      </c>
      <c r="BB30" s="81">
        <f t="shared" si="108"/>
        <v>904</v>
      </c>
      <c r="BC30" s="82">
        <f t="shared" si="109"/>
        <v>2470.21</v>
      </c>
      <c r="BD30" s="81">
        <f t="shared" si="110"/>
        <v>2811.71</v>
      </c>
      <c r="BE30" s="82">
        <f t="shared" si="111"/>
        <v>562.50000000000011</v>
      </c>
      <c r="BF30" s="83">
        <f t="shared" si="112"/>
        <v>3374.21</v>
      </c>
      <c r="BG30" s="84">
        <f t="shared" si="113"/>
        <v>475.5</v>
      </c>
      <c r="BH30" s="85">
        <f>BH29+BF30</f>
        <v>13569.02</v>
      </c>
      <c r="BP30" s="12"/>
    </row>
    <row r="31" spans="1:70" s="8" customFormat="1" ht="14.25" customHeight="1" x14ac:dyDescent="0.2">
      <c r="A31" s="43" t="s">
        <v>38</v>
      </c>
      <c r="B31" s="44">
        <v>46045</v>
      </c>
      <c r="C31" s="74">
        <v>8</v>
      </c>
      <c r="D31" s="74">
        <v>14</v>
      </c>
      <c r="E31" s="74"/>
      <c r="F31" s="75">
        <v>0</v>
      </c>
      <c r="G31" s="75">
        <v>1</v>
      </c>
      <c r="H31" s="75">
        <v>4</v>
      </c>
      <c r="I31" s="76">
        <f t="shared" si="92"/>
        <v>5</v>
      </c>
      <c r="J31" s="48">
        <v>324.70999999999998</v>
      </c>
      <c r="K31" s="49">
        <v>0</v>
      </c>
      <c r="L31" s="49">
        <v>0</v>
      </c>
      <c r="M31" s="49">
        <v>0</v>
      </c>
      <c r="N31" s="49">
        <v>22.9</v>
      </c>
      <c r="O31" s="49"/>
      <c r="P31" s="49">
        <v>404.65</v>
      </c>
      <c r="Q31" s="51">
        <v>752.26</v>
      </c>
      <c r="R31" s="52">
        <f t="shared" si="114"/>
        <v>404.65000000000003</v>
      </c>
      <c r="S31" s="116"/>
      <c r="T31" s="48">
        <v>2267.36</v>
      </c>
      <c r="U31" s="49">
        <v>676.23</v>
      </c>
      <c r="V31" s="49">
        <v>77.239999999999995</v>
      </c>
      <c r="W31" s="49">
        <v>0</v>
      </c>
      <c r="X31" s="49">
        <v>950.7</v>
      </c>
      <c r="Y31" s="49"/>
      <c r="Z31" s="49">
        <v>738.6</v>
      </c>
      <c r="AA31" s="51">
        <v>4772.8900000000003</v>
      </c>
      <c r="AB31" s="53">
        <f t="shared" si="115"/>
        <v>878.60000000000014</v>
      </c>
      <c r="AC31" s="54"/>
      <c r="AD31" s="55">
        <f t="shared" si="93"/>
        <v>2592.0700000000002</v>
      </c>
      <c r="AE31" s="50">
        <f t="shared" si="94"/>
        <v>676.23</v>
      </c>
      <c r="AF31" s="50">
        <f t="shared" si="95"/>
        <v>973.6</v>
      </c>
      <c r="AG31" s="50"/>
      <c r="AH31" s="56">
        <f t="shared" si="96"/>
        <v>1283.2500000000002</v>
      </c>
      <c r="AI31" s="57">
        <f t="shared" si="97"/>
        <v>752.26</v>
      </c>
      <c r="AJ31" s="58">
        <f t="shared" si="98"/>
        <v>4772.8900000000003</v>
      </c>
      <c r="AK31" s="59">
        <f t="shared" si="99"/>
        <v>2592.0700000000002</v>
      </c>
      <c r="AL31" s="60">
        <f t="shared" si="100"/>
        <v>753.47</v>
      </c>
      <c r="AM31" s="61">
        <f t="shared" si="101"/>
        <v>973.6</v>
      </c>
      <c r="AN31" s="61"/>
      <c r="AO31" s="62">
        <f t="shared" si="102"/>
        <v>1283.2500000000002</v>
      </c>
      <c r="AP31" s="63">
        <f t="shared" si="103"/>
        <v>5525.1500000000005</v>
      </c>
      <c r="AQ31" s="64">
        <f t="shared" si="104"/>
        <v>1143.25</v>
      </c>
      <c r="AR31" s="87" t="s">
        <v>39</v>
      </c>
      <c r="AS31" s="78">
        <f>AS30+AP31</f>
        <v>16005.96</v>
      </c>
      <c r="AV31" s="79" t="s">
        <v>38</v>
      </c>
      <c r="AW31" s="80">
        <f t="shared" si="105"/>
        <v>46045</v>
      </c>
      <c r="AX31" s="68">
        <f t="shared" si="116"/>
        <v>347.60999999999996</v>
      </c>
      <c r="AY31" s="68">
        <f t="shared" si="106"/>
        <v>404.65000000000003</v>
      </c>
      <c r="AZ31" s="69">
        <f t="shared" si="117"/>
        <v>3894.29</v>
      </c>
      <c r="BA31" s="69">
        <f t="shared" si="107"/>
        <v>878.60000000000014</v>
      </c>
      <c r="BB31" s="81">
        <f t="shared" si="108"/>
        <v>752.26</v>
      </c>
      <c r="BC31" s="82">
        <f t="shared" si="109"/>
        <v>4772.8900000000003</v>
      </c>
      <c r="BD31" s="81">
        <f t="shared" si="110"/>
        <v>4241.8999999999996</v>
      </c>
      <c r="BE31" s="82">
        <f t="shared" si="111"/>
        <v>1283.2500000000002</v>
      </c>
      <c r="BF31" s="83">
        <f t="shared" si="112"/>
        <v>5525.15</v>
      </c>
      <c r="BG31" s="84">
        <f t="shared" si="113"/>
        <v>1143.25</v>
      </c>
      <c r="BH31" s="85">
        <f>BH30+BF31</f>
        <v>19094.169999999998</v>
      </c>
      <c r="BP31" s="12"/>
      <c r="BR31" s="88"/>
    </row>
    <row r="32" spans="1:70" s="8" customFormat="1" ht="14.25" customHeight="1" x14ac:dyDescent="0.2">
      <c r="A32" s="43" t="s">
        <v>40</v>
      </c>
      <c r="B32" s="44">
        <v>46046</v>
      </c>
      <c r="C32" s="74">
        <v>9</v>
      </c>
      <c r="D32" s="74">
        <v>18</v>
      </c>
      <c r="E32" s="74"/>
      <c r="F32" s="75">
        <v>0</v>
      </c>
      <c r="G32" s="75">
        <v>0</v>
      </c>
      <c r="H32" s="75">
        <v>5</v>
      </c>
      <c r="I32" s="76">
        <f t="shared" si="92"/>
        <v>5</v>
      </c>
      <c r="J32" s="48">
        <v>713.13</v>
      </c>
      <c r="K32" s="49">
        <v>0</v>
      </c>
      <c r="L32" s="49">
        <v>94.9</v>
      </c>
      <c r="M32" s="49">
        <v>0</v>
      </c>
      <c r="N32" s="49">
        <v>0</v>
      </c>
      <c r="O32" s="49"/>
      <c r="P32" s="49">
        <v>276.75</v>
      </c>
      <c r="Q32" s="51">
        <v>989.88</v>
      </c>
      <c r="R32" s="52">
        <f t="shared" si="114"/>
        <v>276.75</v>
      </c>
      <c r="S32" s="116"/>
      <c r="T32" s="48">
        <v>2586.2600000000002</v>
      </c>
      <c r="U32" s="49">
        <v>497.58</v>
      </c>
      <c r="V32" s="49">
        <v>40.4</v>
      </c>
      <c r="W32" s="49">
        <v>155.22999999999999</v>
      </c>
      <c r="X32" s="49">
        <v>1066.78</v>
      </c>
      <c r="Y32" s="49"/>
      <c r="Z32" s="49">
        <v>582.48</v>
      </c>
      <c r="AA32" s="51">
        <v>4823.6000000000004</v>
      </c>
      <c r="AB32" s="53">
        <f t="shared" si="115"/>
        <v>672.98000000000025</v>
      </c>
      <c r="AC32" s="54"/>
      <c r="AD32" s="55">
        <f t="shared" si="93"/>
        <v>3299.3900000000003</v>
      </c>
      <c r="AE32" s="50">
        <f t="shared" si="94"/>
        <v>497.58</v>
      </c>
      <c r="AF32" s="50">
        <f t="shared" si="95"/>
        <v>1066.78</v>
      </c>
      <c r="AG32" s="50"/>
      <c r="AH32" s="56">
        <f t="shared" si="96"/>
        <v>949.73000000000025</v>
      </c>
      <c r="AI32" s="57">
        <f t="shared" si="97"/>
        <v>989.88</v>
      </c>
      <c r="AJ32" s="58">
        <f t="shared" si="98"/>
        <v>4823.6000000000004</v>
      </c>
      <c r="AK32" s="59">
        <f t="shared" si="99"/>
        <v>3299.3900000000003</v>
      </c>
      <c r="AL32" s="60">
        <f t="shared" si="100"/>
        <v>788.11</v>
      </c>
      <c r="AM32" s="61">
        <f t="shared" si="101"/>
        <v>1066.78</v>
      </c>
      <c r="AN32" s="61"/>
      <c r="AO32" s="62">
        <f t="shared" si="102"/>
        <v>949.73000000000025</v>
      </c>
      <c r="AP32" s="63">
        <f t="shared" si="103"/>
        <v>5813.4800000000005</v>
      </c>
      <c r="AQ32" s="64">
        <f t="shared" si="104"/>
        <v>859.23</v>
      </c>
      <c r="AR32" s="89"/>
      <c r="AS32" s="78">
        <f>AS31+AP32</f>
        <v>21819.439999999999</v>
      </c>
      <c r="AV32" s="79" t="s">
        <v>40</v>
      </c>
      <c r="AW32" s="80">
        <f t="shared" si="105"/>
        <v>46046</v>
      </c>
      <c r="AX32" s="68">
        <f t="shared" si="116"/>
        <v>713.13</v>
      </c>
      <c r="AY32" s="68">
        <f t="shared" si="106"/>
        <v>276.75</v>
      </c>
      <c r="AZ32" s="69">
        <f t="shared" si="117"/>
        <v>4150.62</v>
      </c>
      <c r="BA32" s="69">
        <f t="shared" si="107"/>
        <v>672.98000000000025</v>
      </c>
      <c r="BB32" s="81">
        <f t="shared" si="108"/>
        <v>989.88</v>
      </c>
      <c r="BC32" s="82">
        <f t="shared" si="109"/>
        <v>4823.6000000000004</v>
      </c>
      <c r="BD32" s="81">
        <f t="shared" si="110"/>
        <v>4863.75</v>
      </c>
      <c r="BE32" s="82">
        <f t="shared" si="111"/>
        <v>949.73000000000025</v>
      </c>
      <c r="BF32" s="83">
        <f>BD32+BE32</f>
        <v>5813.4800000000005</v>
      </c>
      <c r="BG32" s="84">
        <f t="shared" si="113"/>
        <v>859.23</v>
      </c>
      <c r="BH32" s="85">
        <f>BH31+BF32</f>
        <v>24907.649999999998</v>
      </c>
      <c r="BP32" s="12"/>
    </row>
    <row r="33" spans="1:70" s="8" customFormat="1" ht="14.25" customHeight="1" x14ac:dyDescent="0.2">
      <c r="A33" s="43" t="s">
        <v>41</v>
      </c>
      <c r="B33" s="44">
        <v>46047</v>
      </c>
      <c r="C33" s="74">
        <v>0</v>
      </c>
      <c r="D33" s="74">
        <v>7</v>
      </c>
      <c r="E33" s="74"/>
      <c r="F33" s="75">
        <v>0</v>
      </c>
      <c r="G33" s="75">
        <v>0</v>
      </c>
      <c r="H33" s="75">
        <v>0</v>
      </c>
      <c r="I33" s="76">
        <f t="shared" si="92"/>
        <v>0</v>
      </c>
      <c r="J33" s="48">
        <v>415.24</v>
      </c>
      <c r="K33" s="49">
        <v>0</v>
      </c>
      <c r="L33" s="49">
        <v>0</v>
      </c>
      <c r="M33" s="49">
        <v>0</v>
      </c>
      <c r="N33" s="49">
        <v>135</v>
      </c>
      <c r="O33" s="49"/>
      <c r="P33" s="49">
        <v>79.400000000000006</v>
      </c>
      <c r="Q33" s="51">
        <v>629.64</v>
      </c>
      <c r="R33" s="52">
        <f t="shared" si="114"/>
        <v>79.399999999999977</v>
      </c>
      <c r="S33" s="116"/>
      <c r="T33" s="48">
        <v>1635.16</v>
      </c>
      <c r="U33" s="49">
        <v>0</v>
      </c>
      <c r="V33" s="49">
        <v>0</v>
      </c>
      <c r="W33" s="49">
        <v>0</v>
      </c>
      <c r="X33" s="49">
        <v>244.4</v>
      </c>
      <c r="Y33" s="49"/>
      <c r="Z33" s="49">
        <v>417.6</v>
      </c>
      <c r="AA33" s="51">
        <v>2347.16</v>
      </c>
      <c r="AB33" s="53">
        <f t="shared" si="115"/>
        <v>467.5999999999998</v>
      </c>
      <c r="AC33" s="54"/>
      <c r="AD33" s="55">
        <f t="shared" si="93"/>
        <v>2050.4</v>
      </c>
      <c r="AE33" s="50">
        <f t="shared" si="94"/>
        <v>0</v>
      </c>
      <c r="AF33" s="50">
        <f t="shared" si="95"/>
        <v>379.4</v>
      </c>
      <c r="AG33" s="50"/>
      <c r="AH33" s="56">
        <f t="shared" si="96"/>
        <v>546.99999999999977</v>
      </c>
      <c r="AI33" s="57">
        <f t="shared" si="97"/>
        <v>629.64</v>
      </c>
      <c r="AJ33" s="58">
        <f t="shared" si="98"/>
        <v>2347.16</v>
      </c>
      <c r="AK33" s="59">
        <f t="shared" si="99"/>
        <v>2050.4</v>
      </c>
      <c r="AL33" s="60">
        <f t="shared" si="100"/>
        <v>0</v>
      </c>
      <c r="AM33" s="61">
        <f t="shared" si="101"/>
        <v>379.4</v>
      </c>
      <c r="AN33" s="61"/>
      <c r="AO33" s="62">
        <f t="shared" si="102"/>
        <v>546.99999999999977</v>
      </c>
      <c r="AP33" s="63">
        <f t="shared" si="103"/>
        <v>2976.7999999999997</v>
      </c>
      <c r="AQ33" s="64">
        <f t="shared" si="104"/>
        <v>497</v>
      </c>
      <c r="AR33" s="90">
        <f>AR32-AM34</f>
        <v>-4055.18</v>
      </c>
      <c r="AS33" s="78">
        <f>AS32+AP33</f>
        <v>24796.239999999998</v>
      </c>
      <c r="AV33" s="79" t="s">
        <v>41</v>
      </c>
      <c r="AW33" s="80">
        <f t="shared" si="105"/>
        <v>46047</v>
      </c>
      <c r="AX33" s="68">
        <f t="shared" si="116"/>
        <v>550.24</v>
      </c>
      <c r="AY33" s="68">
        <f t="shared" si="106"/>
        <v>79.399999999999977</v>
      </c>
      <c r="AZ33" s="69">
        <f t="shared" si="117"/>
        <v>1879.5600000000002</v>
      </c>
      <c r="BA33" s="69">
        <f t="shared" si="107"/>
        <v>467.5999999999998</v>
      </c>
      <c r="BB33" s="81">
        <f t="shared" si="108"/>
        <v>629.64</v>
      </c>
      <c r="BC33" s="82">
        <f t="shared" si="109"/>
        <v>2347.16</v>
      </c>
      <c r="BD33" s="81">
        <f t="shared" si="110"/>
        <v>2429.8000000000002</v>
      </c>
      <c r="BE33" s="82">
        <f t="shared" si="111"/>
        <v>546.99999999999977</v>
      </c>
      <c r="BF33" s="83">
        <f t="shared" si="112"/>
        <v>2976.8</v>
      </c>
      <c r="BG33" s="84">
        <f t="shared" si="113"/>
        <v>497</v>
      </c>
      <c r="BH33" s="85">
        <f>BH32+BF33</f>
        <v>27884.449999999997</v>
      </c>
      <c r="BP33" s="12"/>
    </row>
    <row r="34" spans="1:70" s="105" customFormat="1" ht="14.25" customHeight="1" thickBot="1" x14ac:dyDescent="0.25">
      <c r="A34" s="91" t="s">
        <v>42</v>
      </c>
      <c r="B34" s="91"/>
      <c r="C34" s="92">
        <f>SUM(C27:C33)</f>
        <v>31</v>
      </c>
      <c r="D34" s="93">
        <f>SUM(D27:D33)</f>
        <v>67</v>
      </c>
      <c r="E34" s="14">
        <f>SUM(E27:E33)</f>
        <v>0</v>
      </c>
      <c r="F34" s="523">
        <f>SUM(I27:I33)</f>
        <v>23</v>
      </c>
      <c r="G34" s="524"/>
      <c r="H34" s="524"/>
      <c r="I34" s="387">
        <f>SUM(C34:H34)</f>
        <v>121</v>
      </c>
      <c r="J34" s="94">
        <f t="shared" ref="J34:R34" si="118">SUM(J27:J33)</f>
        <v>3807.87</v>
      </c>
      <c r="K34" s="95">
        <f t="shared" si="118"/>
        <v>54.68</v>
      </c>
      <c r="L34" s="95">
        <f t="shared" si="118"/>
        <v>193.31</v>
      </c>
      <c r="M34" s="95">
        <f t="shared" si="118"/>
        <v>0</v>
      </c>
      <c r="N34" s="95">
        <f t="shared" si="118"/>
        <v>298.2</v>
      </c>
      <c r="O34" s="95"/>
      <c r="P34" s="95">
        <f t="shared" si="118"/>
        <v>2005.15</v>
      </c>
      <c r="Q34" s="96">
        <f t="shared" si="118"/>
        <v>6213.05</v>
      </c>
      <c r="R34" s="97">
        <f t="shared" si="118"/>
        <v>2052.3000000000002</v>
      </c>
      <c r="S34" s="117"/>
      <c r="T34" s="94">
        <f t="shared" ref="T34:AA34" si="119">SUM(T27:T33)</f>
        <v>12425.51</v>
      </c>
      <c r="U34" s="95">
        <f t="shared" si="119"/>
        <v>1705.6799999999998</v>
      </c>
      <c r="V34" s="95">
        <f t="shared" si="119"/>
        <v>307.64999999999998</v>
      </c>
      <c r="W34" s="95">
        <f t="shared" si="119"/>
        <v>206.23</v>
      </c>
      <c r="X34" s="95">
        <f t="shared" si="119"/>
        <v>3756.98</v>
      </c>
      <c r="Y34" s="95"/>
      <c r="Z34" s="95">
        <f t="shared" si="119"/>
        <v>3197.0299999999997</v>
      </c>
      <c r="AA34" s="96">
        <f t="shared" si="119"/>
        <v>21671.399999999998</v>
      </c>
      <c r="AB34" s="98">
        <f>SUM(AB27:AB33)</f>
        <v>3783.23</v>
      </c>
      <c r="AC34" s="99"/>
      <c r="AD34" s="100">
        <f t="shared" ref="AD34:AP34" si="120">SUM(AD27:AD33)</f>
        <v>16233.38</v>
      </c>
      <c r="AE34" s="95">
        <f t="shared" si="120"/>
        <v>1760.36</v>
      </c>
      <c r="AF34" s="95">
        <f t="shared" si="120"/>
        <v>4055.18</v>
      </c>
      <c r="AG34" s="95"/>
      <c r="AH34" s="95">
        <f t="shared" si="120"/>
        <v>5835.5300000000007</v>
      </c>
      <c r="AI34" s="95">
        <f t="shared" si="120"/>
        <v>6213.05</v>
      </c>
      <c r="AJ34" s="95">
        <f t="shared" si="120"/>
        <v>21671.399999999998</v>
      </c>
      <c r="AK34" s="101">
        <f t="shared" si="120"/>
        <v>16233.38</v>
      </c>
      <c r="AL34" s="95">
        <f t="shared" si="120"/>
        <v>2467.5500000000002</v>
      </c>
      <c r="AM34" s="95">
        <f t="shared" si="120"/>
        <v>4055.18</v>
      </c>
      <c r="AN34" s="95"/>
      <c r="AO34" s="95">
        <f t="shared" si="120"/>
        <v>5835.5300000000007</v>
      </c>
      <c r="AP34" s="95">
        <f t="shared" si="120"/>
        <v>27884.45</v>
      </c>
      <c r="AQ34" s="102">
        <f>SUM(AQ27:AQ33)</f>
        <v>5202.18</v>
      </c>
      <c r="AR34" s="103">
        <f>AR33</f>
        <v>-4055.18</v>
      </c>
      <c r="AS34" s="104">
        <f>AP34+AR34</f>
        <v>23829.27</v>
      </c>
      <c r="AV34" s="525" t="s">
        <v>42</v>
      </c>
      <c r="AW34" s="526"/>
      <c r="AX34" s="95">
        <f t="shared" ref="AX34:BD34" si="121">SUM(AX27:AX33)</f>
        <v>4160.75</v>
      </c>
      <c r="AY34" s="95">
        <f t="shared" si="121"/>
        <v>2052.3000000000002</v>
      </c>
      <c r="AZ34" s="95">
        <f t="shared" si="121"/>
        <v>17888.170000000002</v>
      </c>
      <c r="BA34" s="95">
        <f t="shared" si="121"/>
        <v>3783.23</v>
      </c>
      <c r="BB34" s="95">
        <f t="shared" si="121"/>
        <v>6213.05</v>
      </c>
      <c r="BC34" s="95">
        <f t="shared" si="121"/>
        <v>21671.399999999998</v>
      </c>
      <c r="BD34" s="95">
        <f t="shared" si="121"/>
        <v>22048.920000000002</v>
      </c>
      <c r="BE34" s="95">
        <f>SUM(BE27:BE33)</f>
        <v>5835.5300000000007</v>
      </c>
      <c r="BF34" s="95">
        <f t="shared" ref="BF34:BG34" si="122">SUM(BF27:BF33)</f>
        <v>27884.449999999997</v>
      </c>
      <c r="BG34" s="95">
        <f t="shared" si="122"/>
        <v>5202.18</v>
      </c>
      <c r="BP34" s="106"/>
    </row>
    <row r="35" spans="1:70" s="8" customFormat="1" ht="14.25" customHeight="1" x14ac:dyDescent="0.2">
      <c r="A35" s="43" t="s">
        <v>34</v>
      </c>
      <c r="B35" s="44">
        <v>46048</v>
      </c>
      <c r="C35" s="45">
        <v>4</v>
      </c>
      <c r="D35" s="45">
        <v>6</v>
      </c>
      <c r="E35" s="45"/>
      <c r="F35" s="46">
        <v>0</v>
      </c>
      <c r="G35" s="46">
        <v>0</v>
      </c>
      <c r="H35" s="46">
        <v>3</v>
      </c>
      <c r="I35" s="47">
        <f t="shared" ref="I35:I41" si="123">SUM(F35:H35)</f>
        <v>3</v>
      </c>
      <c r="J35" s="48">
        <v>581.80999999999995</v>
      </c>
      <c r="K35" s="49">
        <v>0</v>
      </c>
      <c r="L35" s="49">
        <v>0</v>
      </c>
      <c r="M35" s="49">
        <v>0</v>
      </c>
      <c r="N35" s="49">
        <v>82.39</v>
      </c>
      <c r="O35" s="49"/>
      <c r="P35" s="49">
        <v>114.45</v>
      </c>
      <c r="Q35" s="51">
        <v>778.65</v>
      </c>
      <c r="R35" s="52">
        <f>Q35-J35-K35-N35-O35</f>
        <v>114.45000000000003</v>
      </c>
      <c r="S35" s="116"/>
      <c r="T35" s="48">
        <v>1643.39</v>
      </c>
      <c r="U35" s="49">
        <v>113.1</v>
      </c>
      <c r="V35" s="49">
        <v>108.86</v>
      </c>
      <c r="W35" s="49">
        <v>0</v>
      </c>
      <c r="X35" s="49">
        <v>253.78</v>
      </c>
      <c r="Y35" s="49">
        <v>0</v>
      </c>
      <c r="Z35" s="49">
        <v>418.25</v>
      </c>
      <c r="AA35" s="51">
        <v>2489.02</v>
      </c>
      <c r="AB35" s="53">
        <f>AA35-T35-U35-X35-Y35</f>
        <v>478.74999999999989</v>
      </c>
      <c r="AC35" s="54"/>
      <c r="AD35" s="55">
        <f t="shared" ref="AD35:AD41" si="124">T35+J35</f>
        <v>2225.1999999999998</v>
      </c>
      <c r="AE35" s="50">
        <f t="shared" ref="AE35:AE41" si="125">K35+U35</f>
        <v>113.1</v>
      </c>
      <c r="AF35" s="50">
        <f t="shared" ref="AF35:AF41" si="126">N35+X35</f>
        <v>336.17</v>
      </c>
      <c r="AG35" s="50"/>
      <c r="AH35" s="56">
        <f t="shared" ref="AH35:AH41" si="127">R35+AB35</f>
        <v>593.19999999999993</v>
      </c>
      <c r="AI35" s="57">
        <f t="shared" ref="AI35:AI41" si="128">Q35</f>
        <v>778.65</v>
      </c>
      <c r="AJ35" s="58">
        <f t="shared" ref="AJ35:AJ41" si="129">AA35</f>
        <v>2489.02</v>
      </c>
      <c r="AK35" s="59">
        <f t="shared" ref="AK35:AK41" si="130">AD35</f>
        <v>2225.1999999999998</v>
      </c>
      <c r="AL35" s="60">
        <f t="shared" ref="AL35:AL41" si="131">K35+L35+M35+U35+V35+W35</f>
        <v>221.95999999999998</v>
      </c>
      <c r="AM35" s="61">
        <f t="shared" ref="AM35:AM41" si="132">N35+X35</f>
        <v>336.17</v>
      </c>
      <c r="AN35" s="61"/>
      <c r="AO35" s="62">
        <f t="shared" ref="AO35:AO41" si="133">R35+AB35</f>
        <v>593.19999999999993</v>
      </c>
      <c r="AP35" s="63">
        <f t="shared" ref="AP35:AP41" si="134">AI35+AJ35</f>
        <v>3267.67</v>
      </c>
      <c r="AQ35" s="64">
        <f t="shared" ref="AQ35:AQ41" si="135">P35+Z35</f>
        <v>532.70000000000005</v>
      </c>
      <c r="AR35" s="65"/>
      <c r="AS35" s="33"/>
      <c r="AV35" s="66" t="s">
        <v>34</v>
      </c>
      <c r="AW35" s="67">
        <f t="shared" ref="AW35:AW41" si="136">B35</f>
        <v>46048</v>
      </c>
      <c r="AX35" s="68">
        <f>J35+K35+N35</f>
        <v>664.19999999999993</v>
      </c>
      <c r="AY35" s="68">
        <f t="shared" ref="AY35:AY41" si="137">R35</f>
        <v>114.45000000000003</v>
      </c>
      <c r="AZ35" s="69">
        <f>T35+U35+X35</f>
        <v>2010.27</v>
      </c>
      <c r="BA35" s="69">
        <f t="shared" ref="BA35:BA41" si="138">AB35</f>
        <v>478.74999999999989</v>
      </c>
      <c r="BB35" s="70">
        <f t="shared" ref="BB35:BB41" si="139">AX35+AY35</f>
        <v>778.65</v>
      </c>
      <c r="BC35" s="71">
        <f t="shared" ref="BC35:BC41" si="140">AZ35+BA35</f>
        <v>2489.02</v>
      </c>
      <c r="BD35" s="70">
        <f t="shared" ref="BD35:BD41" si="141">AX35+AZ35</f>
        <v>2674.47</v>
      </c>
      <c r="BE35" s="71">
        <f t="shared" ref="BE35:BE41" si="142">AY35+BA35</f>
        <v>593.19999999999993</v>
      </c>
      <c r="BF35" s="72">
        <f t="shared" ref="BF35:BF41" si="143">BD35+BE35</f>
        <v>3267.6699999999996</v>
      </c>
      <c r="BG35" s="73">
        <f t="shared" ref="BG35:BG41" si="144">AQ35</f>
        <v>532.70000000000005</v>
      </c>
      <c r="BP35" s="12"/>
    </row>
    <row r="36" spans="1:70" s="8" customFormat="1" ht="14.25" customHeight="1" x14ac:dyDescent="0.2">
      <c r="A36" s="43" t="s">
        <v>35</v>
      </c>
      <c r="B36" s="44">
        <v>46049</v>
      </c>
      <c r="C36" s="74">
        <v>1</v>
      </c>
      <c r="D36" s="74">
        <v>11</v>
      </c>
      <c r="E36" s="74">
        <v>1</v>
      </c>
      <c r="F36" s="75">
        <v>0</v>
      </c>
      <c r="G36" s="75">
        <v>0</v>
      </c>
      <c r="H36" s="75">
        <v>1</v>
      </c>
      <c r="I36" s="76">
        <f t="shared" si="123"/>
        <v>1</v>
      </c>
      <c r="J36" s="48">
        <v>662.83</v>
      </c>
      <c r="K36" s="49">
        <v>0</v>
      </c>
      <c r="L36" s="49">
        <v>0</v>
      </c>
      <c r="M36" s="49">
        <v>0</v>
      </c>
      <c r="N36" s="49">
        <v>75.2</v>
      </c>
      <c r="O36" s="49"/>
      <c r="P36" s="49">
        <v>421.1</v>
      </c>
      <c r="Q36" s="51">
        <v>1159.1300000000001</v>
      </c>
      <c r="R36" s="52">
        <f t="shared" ref="R36:R41" si="145">Q36-J36-K36-N36-O36</f>
        <v>421.10000000000008</v>
      </c>
      <c r="S36" s="116"/>
      <c r="T36" s="48">
        <v>1284.06</v>
      </c>
      <c r="U36" s="49">
        <v>127.91</v>
      </c>
      <c r="V36" s="49">
        <v>0</v>
      </c>
      <c r="W36" s="49">
        <v>0</v>
      </c>
      <c r="X36" s="49">
        <v>430.3</v>
      </c>
      <c r="Y36" s="49">
        <v>45.8</v>
      </c>
      <c r="Z36" s="49">
        <v>356.4</v>
      </c>
      <c r="AA36" s="51">
        <v>2313.9699999999998</v>
      </c>
      <c r="AB36" s="53">
        <f t="shared" ref="AB36:AB41" si="146">AA36-T36-U36-X36-Y36</f>
        <v>425.89999999999986</v>
      </c>
      <c r="AC36" s="54"/>
      <c r="AD36" s="55">
        <f t="shared" si="124"/>
        <v>1946.8899999999999</v>
      </c>
      <c r="AE36" s="50">
        <f t="shared" si="125"/>
        <v>127.91</v>
      </c>
      <c r="AF36" s="50">
        <f>N36+X36</f>
        <v>505.5</v>
      </c>
      <c r="AG36" s="50"/>
      <c r="AH36" s="56">
        <f t="shared" si="127"/>
        <v>847</v>
      </c>
      <c r="AI36" s="57">
        <f t="shared" si="128"/>
        <v>1159.1300000000001</v>
      </c>
      <c r="AJ36" s="58">
        <f t="shared" si="129"/>
        <v>2313.9699999999998</v>
      </c>
      <c r="AK36" s="59">
        <f t="shared" si="130"/>
        <v>1946.8899999999999</v>
      </c>
      <c r="AL36" s="60">
        <f t="shared" si="131"/>
        <v>127.91</v>
      </c>
      <c r="AM36" s="61">
        <f t="shared" si="132"/>
        <v>505.5</v>
      </c>
      <c r="AN36" s="61"/>
      <c r="AO36" s="62">
        <f t="shared" si="133"/>
        <v>847</v>
      </c>
      <c r="AP36" s="63">
        <f t="shared" si="134"/>
        <v>3473.1</v>
      </c>
      <c r="AQ36" s="64">
        <f t="shared" si="135"/>
        <v>777.5</v>
      </c>
      <c r="AR36" s="77"/>
      <c r="AS36" s="78">
        <f>AP35+AP36</f>
        <v>6740.77</v>
      </c>
      <c r="AV36" s="79" t="s">
        <v>35</v>
      </c>
      <c r="AW36" s="80">
        <f t="shared" si="136"/>
        <v>46049</v>
      </c>
      <c r="AX36" s="68">
        <f t="shared" ref="AX36:AX41" si="147">J36+K36+N36</f>
        <v>738.03000000000009</v>
      </c>
      <c r="AY36" s="68">
        <f t="shared" si="137"/>
        <v>421.10000000000008</v>
      </c>
      <c r="AZ36" s="69">
        <f t="shared" ref="AZ36:AZ41" si="148">T36+U36+X36</f>
        <v>1842.27</v>
      </c>
      <c r="BA36" s="69">
        <f t="shared" si="138"/>
        <v>425.89999999999986</v>
      </c>
      <c r="BB36" s="81">
        <f t="shared" si="139"/>
        <v>1159.1300000000001</v>
      </c>
      <c r="BC36" s="82">
        <f t="shared" si="140"/>
        <v>2268.17</v>
      </c>
      <c r="BD36" s="81">
        <f t="shared" si="141"/>
        <v>2580.3000000000002</v>
      </c>
      <c r="BE36" s="82">
        <f t="shared" si="142"/>
        <v>847</v>
      </c>
      <c r="BF36" s="83">
        <f t="shared" si="143"/>
        <v>3427.3</v>
      </c>
      <c r="BG36" s="84">
        <f t="shared" si="144"/>
        <v>777.5</v>
      </c>
      <c r="BH36" s="85">
        <f>BF35+BF36</f>
        <v>6694.9699999999993</v>
      </c>
      <c r="BP36" s="12"/>
    </row>
    <row r="37" spans="1:70" s="110" customFormat="1" ht="14.25" customHeight="1" x14ac:dyDescent="0.2">
      <c r="A37" s="107" t="s">
        <v>36</v>
      </c>
      <c r="B37" s="44">
        <v>46050</v>
      </c>
      <c r="C37" s="74">
        <v>4</v>
      </c>
      <c r="D37" s="74">
        <v>10</v>
      </c>
      <c r="E37" s="74">
        <v>0</v>
      </c>
      <c r="F37" s="75">
        <v>0</v>
      </c>
      <c r="G37" s="75">
        <v>0</v>
      </c>
      <c r="H37" s="75">
        <v>3</v>
      </c>
      <c r="I37" s="76">
        <f t="shared" si="123"/>
        <v>3</v>
      </c>
      <c r="J37" s="48">
        <v>235.08</v>
      </c>
      <c r="K37" s="49">
        <v>54.37</v>
      </c>
      <c r="L37" s="49">
        <v>0</v>
      </c>
      <c r="M37" s="49">
        <v>0</v>
      </c>
      <c r="N37" s="49">
        <v>0</v>
      </c>
      <c r="O37" s="49"/>
      <c r="P37" s="49">
        <v>42.7</v>
      </c>
      <c r="Q37" s="51">
        <v>332.15</v>
      </c>
      <c r="R37" s="52">
        <f t="shared" si="145"/>
        <v>42.699999999999967</v>
      </c>
      <c r="S37" s="116"/>
      <c r="T37" s="48">
        <v>1707.03</v>
      </c>
      <c r="U37" s="49">
        <v>229.34</v>
      </c>
      <c r="V37" s="49">
        <v>0</v>
      </c>
      <c r="W37" s="49">
        <v>0</v>
      </c>
      <c r="X37" s="49">
        <v>776.1</v>
      </c>
      <c r="Y37" s="49">
        <v>0</v>
      </c>
      <c r="Z37" s="49">
        <v>153.5</v>
      </c>
      <c r="AA37" s="51">
        <v>2941.47</v>
      </c>
      <c r="AB37" s="53">
        <f t="shared" si="146"/>
        <v>228.99999999999977</v>
      </c>
      <c r="AC37" s="54"/>
      <c r="AD37" s="55">
        <f t="shared" si="124"/>
        <v>1942.11</v>
      </c>
      <c r="AE37" s="50">
        <f t="shared" si="125"/>
        <v>283.70999999999998</v>
      </c>
      <c r="AF37" s="50">
        <f t="shared" si="126"/>
        <v>776.1</v>
      </c>
      <c r="AG37" s="50"/>
      <c r="AH37" s="56">
        <f t="shared" si="127"/>
        <v>271.69999999999976</v>
      </c>
      <c r="AI37" s="57">
        <f t="shared" si="128"/>
        <v>332.15</v>
      </c>
      <c r="AJ37" s="58">
        <f t="shared" si="129"/>
        <v>2941.47</v>
      </c>
      <c r="AK37" s="59">
        <f t="shared" si="130"/>
        <v>1942.11</v>
      </c>
      <c r="AL37" s="60">
        <f t="shared" si="131"/>
        <v>283.70999999999998</v>
      </c>
      <c r="AM37" s="61">
        <f t="shared" si="132"/>
        <v>776.1</v>
      </c>
      <c r="AN37" s="61"/>
      <c r="AO37" s="62">
        <f t="shared" si="133"/>
        <v>271.69999999999976</v>
      </c>
      <c r="AP37" s="63">
        <f t="shared" si="134"/>
        <v>3273.62</v>
      </c>
      <c r="AQ37" s="64">
        <f t="shared" si="135"/>
        <v>196.2</v>
      </c>
      <c r="AR37" s="77"/>
      <c r="AS37" s="78">
        <f>AP36+AP37</f>
        <v>6746.7199999999993</v>
      </c>
      <c r="AV37" s="111" t="s">
        <v>36</v>
      </c>
      <c r="AW37" s="112">
        <f t="shared" si="136"/>
        <v>46050</v>
      </c>
      <c r="AX37" s="69">
        <f t="shared" si="147"/>
        <v>289.45</v>
      </c>
      <c r="AY37" s="69">
        <f t="shared" si="137"/>
        <v>42.699999999999967</v>
      </c>
      <c r="AZ37" s="69">
        <f t="shared" si="148"/>
        <v>2712.47</v>
      </c>
      <c r="BA37" s="69">
        <f t="shared" si="138"/>
        <v>228.99999999999977</v>
      </c>
      <c r="BB37" s="81">
        <f t="shared" si="139"/>
        <v>332.15</v>
      </c>
      <c r="BC37" s="82">
        <f t="shared" si="140"/>
        <v>2941.4699999999993</v>
      </c>
      <c r="BD37" s="81">
        <f t="shared" si="141"/>
        <v>3001.9199999999996</v>
      </c>
      <c r="BE37" s="82">
        <f t="shared" si="142"/>
        <v>271.69999999999976</v>
      </c>
      <c r="BF37" s="83">
        <f t="shared" si="143"/>
        <v>3273.6199999999994</v>
      </c>
      <c r="BG37" s="84">
        <f t="shared" si="144"/>
        <v>196.2</v>
      </c>
      <c r="BH37" s="109">
        <f>BH36+BF37</f>
        <v>9968.5899999999983</v>
      </c>
      <c r="BP37" s="113"/>
    </row>
    <row r="38" spans="1:70" s="8" customFormat="1" ht="14.25" customHeight="1" x14ac:dyDescent="0.2">
      <c r="A38" s="43" t="s">
        <v>37</v>
      </c>
      <c r="B38" s="44">
        <v>46051</v>
      </c>
      <c r="C38" s="74">
        <v>4</v>
      </c>
      <c r="D38" s="74">
        <v>12</v>
      </c>
      <c r="E38" s="74">
        <v>0</v>
      </c>
      <c r="F38" s="75">
        <v>0</v>
      </c>
      <c r="G38" s="75">
        <v>0</v>
      </c>
      <c r="H38" s="75">
        <v>3</v>
      </c>
      <c r="I38" s="76">
        <f t="shared" si="123"/>
        <v>3</v>
      </c>
      <c r="J38" s="48">
        <v>339.53</v>
      </c>
      <c r="K38" s="49">
        <v>0</v>
      </c>
      <c r="L38" s="49">
        <v>51.46</v>
      </c>
      <c r="M38" s="49">
        <v>0</v>
      </c>
      <c r="N38" s="49">
        <v>92.7</v>
      </c>
      <c r="O38" s="49"/>
      <c r="P38" s="49">
        <v>225.85</v>
      </c>
      <c r="Q38" s="51">
        <v>658.08</v>
      </c>
      <c r="R38" s="52">
        <f t="shared" si="145"/>
        <v>225.85000000000008</v>
      </c>
      <c r="S38" s="116"/>
      <c r="T38" s="48">
        <v>1716.41</v>
      </c>
      <c r="U38" s="49">
        <v>309.51</v>
      </c>
      <c r="V38" s="49">
        <v>0</v>
      </c>
      <c r="W38" s="49">
        <v>0</v>
      </c>
      <c r="X38" s="49">
        <v>504.8</v>
      </c>
      <c r="Y38" s="49">
        <v>0</v>
      </c>
      <c r="Z38" s="49">
        <v>356.5</v>
      </c>
      <c r="AA38" s="51">
        <v>2964.72</v>
      </c>
      <c r="AB38" s="53">
        <f t="shared" si="146"/>
        <v>433.99999999999972</v>
      </c>
      <c r="AC38" s="54"/>
      <c r="AD38" s="55">
        <f t="shared" si="124"/>
        <v>2055.94</v>
      </c>
      <c r="AE38" s="50">
        <f t="shared" si="125"/>
        <v>309.51</v>
      </c>
      <c r="AF38" s="50">
        <f t="shared" si="126"/>
        <v>597.5</v>
      </c>
      <c r="AG38" s="50"/>
      <c r="AH38" s="56">
        <f t="shared" si="127"/>
        <v>659.8499999999998</v>
      </c>
      <c r="AI38" s="57">
        <f t="shared" si="128"/>
        <v>658.08</v>
      </c>
      <c r="AJ38" s="58">
        <f t="shared" si="129"/>
        <v>2964.72</v>
      </c>
      <c r="AK38" s="59">
        <f t="shared" si="130"/>
        <v>2055.94</v>
      </c>
      <c r="AL38" s="60">
        <f t="shared" si="131"/>
        <v>360.96999999999997</v>
      </c>
      <c r="AM38" s="61">
        <f t="shared" si="132"/>
        <v>597.5</v>
      </c>
      <c r="AN38" s="61"/>
      <c r="AO38" s="62">
        <f t="shared" si="133"/>
        <v>659.8499999999998</v>
      </c>
      <c r="AP38" s="63">
        <f t="shared" si="134"/>
        <v>3622.7999999999997</v>
      </c>
      <c r="AQ38" s="64">
        <f t="shared" si="135"/>
        <v>582.35</v>
      </c>
      <c r="AR38" s="86">
        <v>0.28299999999999997</v>
      </c>
      <c r="AS38" s="78">
        <f>AS37+AP38</f>
        <v>10369.519999999999</v>
      </c>
      <c r="AV38" s="79" t="s">
        <v>37</v>
      </c>
      <c r="AW38" s="80">
        <f t="shared" si="136"/>
        <v>46051</v>
      </c>
      <c r="AX38" s="68">
        <f t="shared" si="147"/>
        <v>432.22999999999996</v>
      </c>
      <c r="AY38" s="68">
        <f t="shared" si="137"/>
        <v>225.85000000000008</v>
      </c>
      <c r="AZ38" s="69">
        <f t="shared" si="148"/>
        <v>2530.7200000000003</v>
      </c>
      <c r="BA38" s="69">
        <f t="shared" si="138"/>
        <v>433.99999999999972</v>
      </c>
      <c r="BB38" s="81">
        <f t="shared" si="139"/>
        <v>658.08</v>
      </c>
      <c r="BC38" s="82">
        <f t="shared" si="140"/>
        <v>2964.72</v>
      </c>
      <c r="BD38" s="81">
        <f t="shared" si="141"/>
        <v>2962.9500000000003</v>
      </c>
      <c r="BE38" s="82">
        <f t="shared" si="142"/>
        <v>659.8499999999998</v>
      </c>
      <c r="BF38" s="83">
        <f t="shared" si="143"/>
        <v>3622.8</v>
      </c>
      <c r="BG38" s="84">
        <f t="shared" si="144"/>
        <v>582.35</v>
      </c>
      <c r="BH38" s="85">
        <f>BH37+BF38</f>
        <v>13591.39</v>
      </c>
      <c r="BP38" s="12"/>
    </row>
    <row r="39" spans="1:70" s="8" customFormat="1" ht="14.25" customHeight="1" x14ac:dyDescent="0.2">
      <c r="A39" s="43" t="s">
        <v>38</v>
      </c>
      <c r="B39" s="44">
        <v>46052</v>
      </c>
      <c r="C39" s="74">
        <v>8</v>
      </c>
      <c r="D39" s="74">
        <v>16</v>
      </c>
      <c r="E39" s="74">
        <v>0</v>
      </c>
      <c r="F39" s="75">
        <v>0</v>
      </c>
      <c r="G39" s="75">
        <v>2</v>
      </c>
      <c r="H39" s="75">
        <v>2</v>
      </c>
      <c r="I39" s="76">
        <f t="shared" si="123"/>
        <v>4</v>
      </c>
      <c r="J39" s="48">
        <v>547.19000000000005</v>
      </c>
      <c r="K39" s="49">
        <v>0</v>
      </c>
      <c r="L39" s="49">
        <v>41.41</v>
      </c>
      <c r="M39" s="49">
        <v>0</v>
      </c>
      <c r="N39" s="49">
        <v>25.4</v>
      </c>
      <c r="O39" s="49"/>
      <c r="P39" s="49">
        <v>242.8</v>
      </c>
      <c r="Q39" s="51">
        <v>865.39</v>
      </c>
      <c r="R39" s="52">
        <f t="shared" si="145"/>
        <v>292.79999999999995</v>
      </c>
      <c r="S39" s="116"/>
      <c r="T39" s="48">
        <v>2085.59</v>
      </c>
      <c r="U39" s="49">
        <v>374.16</v>
      </c>
      <c r="V39" s="49">
        <v>165.2</v>
      </c>
      <c r="W39" s="49">
        <v>0</v>
      </c>
      <c r="X39" s="49">
        <v>942.3</v>
      </c>
      <c r="Y39" s="49">
        <v>0</v>
      </c>
      <c r="Z39" s="49">
        <v>759.75</v>
      </c>
      <c r="AA39" s="51">
        <v>4228.8</v>
      </c>
      <c r="AB39" s="53">
        <f t="shared" si="146"/>
        <v>826.75</v>
      </c>
      <c r="AC39" s="54"/>
      <c r="AD39" s="55">
        <f t="shared" si="124"/>
        <v>2632.78</v>
      </c>
      <c r="AE39" s="50">
        <f t="shared" si="125"/>
        <v>374.16</v>
      </c>
      <c r="AF39" s="50">
        <f t="shared" si="126"/>
        <v>967.69999999999993</v>
      </c>
      <c r="AG39" s="50"/>
      <c r="AH39" s="56">
        <f t="shared" si="127"/>
        <v>1119.55</v>
      </c>
      <c r="AI39" s="57">
        <f t="shared" si="128"/>
        <v>865.39</v>
      </c>
      <c r="AJ39" s="58">
        <f t="shared" si="129"/>
        <v>4228.8</v>
      </c>
      <c r="AK39" s="59">
        <f t="shared" si="130"/>
        <v>2632.78</v>
      </c>
      <c r="AL39" s="60">
        <f t="shared" si="131"/>
        <v>580.77</v>
      </c>
      <c r="AM39" s="61">
        <f t="shared" si="132"/>
        <v>967.69999999999993</v>
      </c>
      <c r="AN39" s="61"/>
      <c r="AO39" s="62">
        <f t="shared" si="133"/>
        <v>1119.55</v>
      </c>
      <c r="AP39" s="63">
        <f t="shared" si="134"/>
        <v>5094.1900000000005</v>
      </c>
      <c r="AQ39" s="64">
        <f t="shared" si="135"/>
        <v>1002.55</v>
      </c>
      <c r="AR39" s="87" t="s">
        <v>39</v>
      </c>
      <c r="AS39" s="78">
        <f>AS38+AP39</f>
        <v>15463.71</v>
      </c>
      <c r="AV39" s="79" t="s">
        <v>38</v>
      </c>
      <c r="AW39" s="80">
        <f t="shared" si="136"/>
        <v>46052</v>
      </c>
      <c r="AX39" s="68">
        <f t="shared" si="147"/>
        <v>572.59</v>
      </c>
      <c r="AY39" s="68">
        <f t="shared" si="137"/>
        <v>292.79999999999995</v>
      </c>
      <c r="AZ39" s="69">
        <f t="shared" si="148"/>
        <v>3402.05</v>
      </c>
      <c r="BA39" s="69">
        <f t="shared" si="138"/>
        <v>826.75</v>
      </c>
      <c r="BB39" s="81">
        <f t="shared" si="139"/>
        <v>865.39</v>
      </c>
      <c r="BC39" s="82">
        <f t="shared" si="140"/>
        <v>4228.8</v>
      </c>
      <c r="BD39" s="81">
        <f t="shared" si="141"/>
        <v>3974.6400000000003</v>
      </c>
      <c r="BE39" s="82">
        <f t="shared" si="142"/>
        <v>1119.55</v>
      </c>
      <c r="BF39" s="83">
        <f t="shared" si="143"/>
        <v>5094.1900000000005</v>
      </c>
      <c r="BG39" s="84">
        <f t="shared" si="144"/>
        <v>1002.55</v>
      </c>
      <c r="BH39" s="85">
        <f>BH38+BF39</f>
        <v>18685.580000000002</v>
      </c>
      <c r="BP39" s="12"/>
      <c r="BR39" s="88"/>
    </row>
    <row r="40" spans="1:70" s="8" customFormat="1" ht="14.25" customHeight="1" x14ac:dyDescent="0.2">
      <c r="A40" s="43" t="s">
        <v>40</v>
      </c>
      <c r="B40" s="44">
        <v>46053</v>
      </c>
      <c r="C40" s="74">
        <v>7</v>
      </c>
      <c r="D40" s="74">
        <v>10</v>
      </c>
      <c r="E40" s="74">
        <v>0</v>
      </c>
      <c r="F40" s="75">
        <v>0</v>
      </c>
      <c r="G40" s="75">
        <v>0</v>
      </c>
      <c r="H40" s="75">
        <v>8</v>
      </c>
      <c r="I40" s="76">
        <f t="shared" si="123"/>
        <v>8</v>
      </c>
      <c r="J40" s="48">
        <v>610.49</v>
      </c>
      <c r="K40" s="49">
        <v>0</v>
      </c>
      <c r="L40" s="49">
        <v>0</v>
      </c>
      <c r="M40" s="49">
        <v>0</v>
      </c>
      <c r="N40" s="49">
        <v>29.9</v>
      </c>
      <c r="O40" s="49"/>
      <c r="P40" s="49">
        <v>136.15</v>
      </c>
      <c r="Q40" s="51">
        <v>776.54</v>
      </c>
      <c r="R40" s="52">
        <f t="shared" si="145"/>
        <v>136.14999999999995</v>
      </c>
      <c r="S40" s="116"/>
      <c r="T40" s="48">
        <v>2911.74</v>
      </c>
      <c r="U40" s="49">
        <v>387.62</v>
      </c>
      <c r="V40" s="49">
        <v>127.29</v>
      </c>
      <c r="W40" s="49">
        <v>0</v>
      </c>
      <c r="X40" s="49">
        <v>662.1</v>
      </c>
      <c r="Y40" s="49">
        <v>0</v>
      </c>
      <c r="Z40" s="49">
        <v>660.89</v>
      </c>
      <c r="AA40" s="51">
        <v>4723.3500000000004</v>
      </c>
      <c r="AB40" s="53">
        <f t="shared" si="146"/>
        <v>761.89000000000067</v>
      </c>
      <c r="AC40" s="54"/>
      <c r="AD40" s="55">
        <f t="shared" si="124"/>
        <v>3522.2299999999996</v>
      </c>
      <c r="AE40" s="50">
        <f t="shared" si="125"/>
        <v>387.62</v>
      </c>
      <c r="AF40" s="50">
        <f t="shared" si="126"/>
        <v>692</v>
      </c>
      <c r="AG40" s="50"/>
      <c r="AH40" s="56">
        <f t="shared" si="127"/>
        <v>898.04000000000065</v>
      </c>
      <c r="AI40" s="57">
        <f t="shared" si="128"/>
        <v>776.54</v>
      </c>
      <c r="AJ40" s="58">
        <f t="shared" si="129"/>
        <v>4723.3500000000004</v>
      </c>
      <c r="AK40" s="59">
        <f t="shared" si="130"/>
        <v>3522.2299999999996</v>
      </c>
      <c r="AL40" s="60">
        <f t="shared" si="131"/>
        <v>514.91</v>
      </c>
      <c r="AM40" s="61">
        <f t="shared" si="132"/>
        <v>692</v>
      </c>
      <c r="AN40" s="61"/>
      <c r="AO40" s="62">
        <f t="shared" si="133"/>
        <v>898.04000000000065</v>
      </c>
      <c r="AP40" s="63">
        <f t="shared" si="134"/>
        <v>5499.89</v>
      </c>
      <c r="AQ40" s="64">
        <f t="shared" si="135"/>
        <v>797.04</v>
      </c>
      <c r="AR40" s="89"/>
      <c r="AS40" s="78">
        <f>AS39+AP40</f>
        <v>20963.599999999999</v>
      </c>
      <c r="AV40" s="79" t="s">
        <v>40</v>
      </c>
      <c r="AW40" s="80">
        <f t="shared" si="136"/>
        <v>46053</v>
      </c>
      <c r="AX40" s="68">
        <f t="shared" si="147"/>
        <v>640.39</v>
      </c>
      <c r="AY40" s="68">
        <f t="shared" si="137"/>
        <v>136.14999999999995</v>
      </c>
      <c r="AZ40" s="69">
        <f t="shared" si="148"/>
        <v>3961.4599999999996</v>
      </c>
      <c r="BA40" s="69">
        <f t="shared" si="138"/>
        <v>761.89000000000067</v>
      </c>
      <c r="BB40" s="81">
        <f t="shared" si="139"/>
        <v>776.54</v>
      </c>
      <c r="BC40" s="82">
        <f t="shared" si="140"/>
        <v>4723.3500000000004</v>
      </c>
      <c r="BD40" s="81">
        <f t="shared" si="141"/>
        <v>4601.8499999999995</v>
      </c>
      <c r="BE40" s="82">
        <f t="shared" si="142"/>
        <v>898.04000000000065</v>
      </c>
      <c r="BF40" s="83">
        <f t="shared" si="143"/>
        <v>5499.89</v>
      </c>
      <c r="BG40" s="84">
        <f t="shared" si="144"/>
        <v>797.04</v>
      </c>
      <c r="BH40" s="85">
        <f>BH39+BF40</f>
        <v>24185.47</v>
      </c>
      <c r="BP40" s="12"/>
    </row>
    <row r="41" spans="1:70" s="8" customFormat="1" ht="14.25" customHeight="1" x14ac:dyDescent="0.2">
      <c r="A41" s="43" t="s">
        <v>41</v>
      </c>
      <c r="B41" s="44">
        <v>46054</v>
      </c>
      <c r="C41" s="74">
        <v>3</v>
      </c>
      <c r="D41" s="74">
        <v>10</v>
      </c>
      <c r="E41" s="74">
        <v>1</v>
      </c>
      <c r="F41" s="75">
        <v>0</v>
      </c>
      <c r="G41" s="75">
        <v>0</v>
      </c>
      <c r="H41" s="75">
        <v>2</v>
      </c>
      <c r="I41" s="76">
        <f t="shared" si="123"/>
        <v>2</v>
      </c>
      <c r="J41" s="48">
        <v>894.13</v>
      </c>
      <c r="K41" s="49">
        <v>0</v>
      </c>
      <c r="L41" s="49">
        <v>0</v>
      </c>
      <c r="M41" s="49">
        <v>0</v>
      </c>
      <c r="N41" s="49">
        <v>0</v>
      </c>
      <c r="O41" s="49">
        <v>32.799999999999997</v>
      </c>
      <c r="P41" s="49">
        <v>128.4</v>
      </c>
      <c r="Q41" s="51">
        <v>1055.33</v>
      </c>
      <c r="R41" s="52">
        <f t="shared" si="145"/>
        <v>128.39999999999992</v>
      </c>
      <c r="S41" s="116"/>
      <c r="T41" s="48">
        <v>1585.14</v>
      </c>
      <c r="U41" s="49">
        <v>306.95999999999998</v>
      </c>
      <c r="V41" s="49">
        <v>0</v>
      </c>
      <c r="W41" s="49">
        <v>0</v>
      </c>
      <c r="X41" s="49">
        <v>564.9</v>
      </c>
      <c r="Y41" s="49">
        <v>0</v>
      </c>
      <c r="Z41" s="49">
        <v>424.15</v>
      </c>
      <c r="AA41" s="51">
        <v>2958.15</v>
      </c>
      <c r="AB41" s="53">
        <f t="shared" si="146"/>
        <v>501.15</v>
      </c>
      <c r="AC41" s="54"/>
      <c r="AD41" s="55">
        <f t="shared" si="124"/>
        <v>2479.27</v>
      </c>
      <c r="AE41" s="50">
        <f t="shared" si="125"/>
        <v>306.95999999999998</v>
      </c>
      <c r="AF41" s="50">
        <f t="shared" si="126"/>
        <v>564.9</v>
      </c>
      <c r="AG41" s="50"/>
      <c r="AH41" s="56">
        <f t="shared" si="127"/>
        <v>629.54999999999995</v>
      </c>
      <c r="AI41" s="57">
        <f t="shared" si="128"/>
        <v>1055.33</v>
      </c>
      <c r="AJ41" s="58">
        <f t="shared" si="129"/>
        <v>2958.15</v>
      </c>
      <c r="AK41" s="59">
        <f t="shared" si="130"/>
        <v>2479.27</v>
      </c>
      <c r="AL41" s="60">
        <f t="shared" si="131"/>
        <v>306.95999999999998</v>
      </c>
      <c r="AM41" s="61">
        <f t="shared" si="132"/>
        <v>564.9</v>
      </c>
      <c r="AN41" s="61"/>
      <c r="AO41" s="62">
        <f t="shared" si="133"/>
        <v>629.54999999999995</v>
      </c>
      <c r="AP41" s="63">
        <f t="shared" si="134"/>
        <v>4013.48</v>
      </c>
      <c r="AQ41" s="64">
        <f t="shared" si="135"/>
        <v>552.54999999999995</v>
      </c>
      <c r="AR41" s="90">
        <f>AR40-AM42</f>
        <v>-4439.87</v>
      </c>
      <c r="AS41" s="78">
        <f>AS40+AP41</f>
        <v>24977.079999999998</v>
      </c>
      <c r="AV41" s="79" t="s">
        <v>41</v>
      </c>
      <c r="AW41" s="80">
        <f t="shared" si="136"/>
        <v>46054</v>
      </c>
      <c r="AX41" s="68">
        <f t="shared" si="147"/>
        <v>894.13</v>
      </c>
      <c r="AY41" s="68">
        <f t="shared" si="137"/>
        <v>128.39999999999992</v>
      </c>
      <c r="AZ41" s="69">
        <f t="shared" si="148"/>
        <v>2457</v>
      </c>
      <c r="BA41" s="69">
        <f t="shared" si="138"/>
        <v>501.15</v>
      </c>
      <c r="BB41" s="81">
        <f t="shared" si="139"/>
        <v>1022.53</v>
      </c>
      <c r="BC41" s="82">
        <f t="shared" si="140"/>
        <v>2958.15</v>
      </c>
      <c r="BD41" s="81">
        <f t="shared" si="141"/>
        <v>3351.13</v>
      </c>
      <c r="BE41" s="82">
        <f t="shared" si="142"/>
        <v>629.54999999999995</v>
      </c>
      <c r="BF41" s="83">
        <f t="shared" si="143"/>
        <v>3980.6800000000003</v>
      </c>
      <c r="BG41" s="84">
        <f t="shared" si="144"/>
        <v>552.54999999999995</v>
      </c>
      <c r="BH41" s="85">
        <f>BH40+BF41</f>
        <v>28166.15</v>
      </c>
      <c r="BP41" s="12"/>
    </row>
    <row r="42" spans="1:70" s="105" customFormat="1" ht="14.25" customHeight="1" thickBot="1" x14ac:dyDescent="0.25">
      <c r="A42" s="91" t="s">
        <v>42</v>
      </c>
      <c r="B42" s="91"/>
      <c r="C42" s="92">
        <f>SUM(C35:C41)</f>
        <v>31</v>
      </c>
      <c r="D42" s="93">
        <f>SUM(D35:D41)</f>
        <v>75</v>
      </c>
      <c r="E42" s="14">
        <f>SUM(E35:E41)</f>
        <v>2</v>
      </c>
      <c r="F42" s="523">
        <f>SUM(I35:I41)</f>
        <v>24</v>
      </c>
      <c r="G42" s="524"/>
      <c r="H42" s="524"/>
      <c r="I42" s="387">
        <f>SUM(C42:H42)</f>
        <v>132</v>
      </c>
      <c r="J42" s="94">
        <f t="shared" ref="J42:R42" si="149">SUM(J35:J41)</f>
        <v>3871.0599999999995</v>
      </c>
      <c r="K42" s="95">
        <f t="shared" si="149"/>
        <v>54.37</v>
      </c>
      <c r="L42" s="95">
        <f t="shared" si="149"/>
        <v>92.87</v>
      </c>
      <c r="M42" s="95">
        <f t="shared" si="149"/>
        <v>0</v>
      </c>
      <c r="N42" s="95">
        <f t="shared" si="149"/>
        <v>305.58999999999997</v>
      </c>
      <c r="O42" s="95"/>
      <c r="P42" s="95">
        <f t="shared" si="149"/>
        <v>1311.4500000000003</v>
      </c>
      <c r="Q42" s="96">
        <f t="shared" si="149"/>
        <v>5625.27</v>
      </c>
      <c r="R42" s="97">
        <f t="shared" si="149"/>
        <v>1361.4499999999998</v>
      </c>
      <c r="S42" s="117"/>
      <c r="T42" s="94">
        <f t="shared" ref="T42:AA42" si="150">SUM(T35:T41)</f>
        <v>12933.359999999999</v>
      </c>
      <c r="U42" s="95">
        <f t="shared" si="150"/>
        <v>1848.6</v>
      </c>
      <c r="V42" s="95">
        <f t="shared" si="150"/>
        <v>401.35</v>
      </c>
      <c r="W42" s="95">
        <f t="shared" si="150"/>
        <v>0</v>
      </c>
      <c r="X42" s="95">
        <f t="shared" si="150"/>
        <v>4134.28</v>
      </c>
      <c r="Y42" s="95"/>
      <c r="Z42" s="95">
        <f t="shared" si="150"/>
        <v>3129.44</v>
      </c>
      <c r="AA42" s="96">
        <f t="shared" si="150"/>
        <v>22619.480000000003</v>
      </c>
      <c r="AB42" s="98">
        <f>SUM(AB35:AB41)</f>
        <v>3657.4400000000005</v>
      </c>
      <c r="AC42" s="99"/>
      <c r="AD42" s="100">
        <f t="shared" ref="AD42:AP42" si="151">SUM(AD35:AD41)</f>
        <v>16804.419999999998</v>
      </c>
      <c r="AE42" s="95">
        <f t="shared" si="151"/>
        <v>1902.9700000000003</v>
      </c>
      <c r="AF42" s="95">
        <f t="shared" si="151"/>
        <v>4439.87</v>
      </c>
      <c r="AG42" s="95"/>
      <c r="AH42" s="95">
        <f t="shared" si="151"/>
        <v>5018.8900000000003</v>
      </c>
      <c r="AI42" s="95">
        <f t="shared" si="151"/>
        <v>5625.27</v>
      </c>
      <c r="AJ42" s="95">
        <f t="shared" si="151"/>
        <v>22619.480000000003</v>
      </c>
      <c r="AK42" s="101">
        <f t="shared" si="151"/>
        <v>16804.419999999998</v>
      </c>
      <c r="AL42" s="95">
        <f t="shared" si="151"/>
        <v>2397.19</v>
      </c>
      <c r="AM42" s="95">
        <f t="shared" si="151"/>
        <v>4439.87</v>
      </c>
      <c r="AN42" s="95"/>
      <c r="AO42" s="95">
        <f t="shared" si="151"/>
        <v>5018.8900000000003</v>
      </c>
      <c r="AP42" s="95">
        <f t="shared" si="151"/>
        <v>28244.749999999996</v>
      </c>
      <c r="AQ42" s="102">
        <f>SUM(AQ35:AQ41)</f>
        <v>4440.8900000000003</v>
      </c>
      <c r="AR42" s="103">
        <f>AR41</f>
        <v>-4439.87</v>
      </c>
      <c r="AS42" s="104">
        <f>AP42+AR42</f>
        <v>23804.879999999997</v>
      </c>
      <c r="AV42" s="525" t="s">
        <v>42</v>
      </c>
      <c r="AW42" s="526"/>
      <c r="AX42" s="95">
        <f t="shared" ref="AX42:BD42" si="152">SUM(AX35:AX41)</f>
        <v>4231.0199999999995</v>
      </c>
      <c r="AY42" s="95">
        <f t="shared" si="152"/>
        <v>1361.4499999999998</v>
      </c>
      <c r="AZ42" s="95">
        <f t="shared" si="152"/>
        <v>18916.239999999998</v>
      </c>
      <c r="BA42" s="95">
        <f t="shared" si="152"/>
        <v>3657.4400000000005</v>
      </c>
      <c r="BB42" s="95">
        <f t="shared" si="152"/>
        <v>5592.47</v>
      </c>
      <c r="BC42" s="95">
        <f t="shared" si="152"/>
        <v>22573.68</v>
      </c>
      <c r="BD42" s="95">
        <f t="shared" si="152"/>
        <v>23147.260000000002</v>
      </c>
      <c r="BE42" s="95">
        <f>SUM(BE35:BE41)</f>
        <v>5018.8900000000003</v>
      </c>
      <c r="BF42" s="95">
        <f t="shared" ref="BF42:BG42" si="153">SUM(BF35:BF41)</f>
        <v>28166.15</v>
      </c>
      <c r="BG42" s="95">
        <f t="shared" si="153"/>
        <v>4440.8900000000003</v>
      </c>
      <c r="BP42" s="106"/>
    </row>
    <row r="43" spans="1:70" ht="15" thickBot="1" x14ac:dyDescent="0.25"/>
    <row r="44" spans="1:70" s="8" customFormat="1" ht="14.25" customHeight="1" thickBot="1" x14ac:dyDescent="0.25">
      <c r="A44" s="491" t="s">
        <v>34</v>
      </c>
      <c r="B44" s="492">
        <v>46055</v>
      </c>
      <c r="C44" s="488">
        <v>2</v>
      </c>
      <c r="D44" s="45">
        <v>9</v>
      </c>
      <c r="E44" s="45">
        <v>0</v>
      </c>
      <c r="F44" s="46">
        <v>0</v>
      </c>
      <c r="G44" s="46">
        <v>0</v>
      </c>
      <c r="H44" s="46">
        <v>1</v>
      </c>
      <c r="I44" s="47">
        <f t="shared" ref="I44:I50" si="154">SUM(F44:H44)</f>
        <v>1</v>
      </c>
      <c r="J44" s="48">
        <v>427.21</v>
      </c>
      <c r="K44" s="49">
        <v>0</v>
      </c>
      <c r="L44" s="49">
        <v>0</v>
      </c>
      <c r="M44" s="49">
        <v>0</v>
      </c>
      <c r="N44" s="49">
        <v>17.899999999999999</v>
      </c>
      <c r="O44" s="49"/>
      <c r="P44" s="49">
        <v>341.65</v>
      </c>
      <c r="Q44" s="51">
        <v>786.76</v>
      </c>
      <c r="R44" s="52">
        <f>Q44-J44-K44-N44-O44</f>
        <v>341.65000000000003</v>
      </c>
      <c r="S44" s="116"/>
      <c r="T44" s="48">
        <v>711.53</v>
      </c>
      <c r="U44" s="49">
        <v>0</v>
      </c>
      <c r="V44" s="49">
        <v>71.760000000000005</v>
      </c>
      <c r="W44" s="49">
        <v>19.899999999999999</v>
      </c>
      <c r="X44" s="49">
        <v>526.20000000000005</v>
      </c>
      <c r="Y44" s="49"/>
      <c r="Z44" s="49">
        <v>593.35</v>
      </c>
      <c r="AA44" s="51">
        <v>1900.58</v>
      </c>
      <c r="AB44" s="53">
        <f>AA44-T44-U44-X44-Y44</f>
        <v>662.84999999999991</v>
      </c>
      <c r="AC44" s="54"/>
      <c r="AD44" s="55">
        <f t="shared" ref="AD44:AD50" si="155">T44+J44</f>
        <v>1138.74</v>
      </c>
      <c r="AE44" s="50">
        <f t="shared" ref="AE44:AE50" si="156">K44+U44</f>
        <v>0</v>
      </c>
      <c r="AF44" s="50">
        <f t="shared" ref="AF44:AF50" si="157">N44+X44</f>
        <v>544.1</v>
      </c>
      <c r="AG44" s="50"/>
      <c r="AH44" s="56">
        <f t="shared" ref="AH44:AH50" si="158">R44+AB44</f>
        <v>1004.5</v>
      </c>
      <c r="AI44" s="57">
        <f t="shared" ref="AI44:AI50" si="159">Q44</f>
        <v>786.76</v>
      </c>
      <c r="AJ44" s="58">
        <f t="shared" ref="AJ44:AJ50" si="160">AA44</f>
        <v>1900.58</v>
      </c>
      <c r="AK44" s="59">
        <f t="shared" ref="AK44:AK50" si="161">AD44</f>
        <v>1138.74</v>
      </c>
      <c r="AL44" s="60">
        <f t="shared" ref="AL44:AL50" si="162">K44+L44+M44+U44+V44+W44</f>
        <v>91.66</v>
      </c>
      <c r="AM44" s="61">
        <f t="shared" ref="AM44:AM50" si="163">N44+X44</f>
        <v>544.1</v>
      </c>
      <c r="AN44" s="61"/>
      <c r="AO44" s="62">
        <f t="shared" ref="AO44:AO50" si="164">R44+AB44</f>
        <v>1004.5</v>
      </c>
      <c r="AP44" s="63">
        <f t="shared" ref="AP44:AP50" si="165">AI44+AJ44</f>
        <v>2687.34</v>
      </c>
      <c r="AQ44" s="64">
        <f t="shared" ref="AQ44:AQ50" si="166">P44+Z44</f>
        <v>935</v>
      </c>
      <c r="AR44" s="65"/>
      <c r="AS44" s="33"/>
      <c r="AV44" s="66" t="s">
        <v>34</v>
      </c>
      <c r="AW44" s="67">
        <f t="shared" ref="AW44:AW50" si="167">B44</f>
        <v>46055</v>
      </c>
      <c r="AX44" s="68">
        <f>J44+K44+N44</f>
        <v>445.10999999999996</v>
      </c>
      <c r="AY44" s="68">
        <f t="shared" ref="AY44:AY50" si="168">R44</f>
        <v>341.65000000000003</v>
      </c>
      <c r="AZ44" s="69">
        <f>T44+U44+X44</f>
        <v>1237.73</v>
      </c>
      <c r="BA44" s="69">
        <f t="shared" ref="BA44:BA50" si="169">AB44</f>
        <v>662.84999999999991</v>
      </c>
      <c r="BB44" s="70">
        <f t="shared" ref="BB44:BB50" si="170">AX44+AY44</f>
        <v>786.76</v>
      </c>
      <c r="BC44" s="71">
        <f t="shared" ref="BC44:BC50" si="171">AZ44+BA44</f>
        <v>1900.58</v>
      </c>
      <c r="BD44" s="70">
        <f t="shared" ref="BD44:BD50" si="172">AX44+AZ44</f>
        <v>1682.84</v>
      </c>
      <c r="BE44" s="71">
        <f t="shared" ref="BE44:BE50" si="173">AY44+BA44</f>
        <v>1004.5</v>
      </c>
      <c r="BF44" s="72">
        <f t="shared" ref="BF44:BF50" si="174">BD44+BE44</f>
        <v>2687.34</v>
      </c>
      <c r="BG44" s="73">
        <f t="shared" ref="BG44:BG50" si="175">AQ44</f>
        <v>935</v>
      </c>
      <c r="BP44" s="12"/>
    </row>
    <row r="45" spans="1:70" s="8" customFormat="1" ht="14.25" customHeight="1" thickBot="1" x14ac:dyDescent="0.25">
      <c r="A45" s="493" t="s">
        <v>35</v>
      </c>
      <c r="B45" s="492">
        <v>46056</v>
      </c>
      <c r="C45" s="489">
        <v>3</v>
      </c>
      <c r="D45" s="74">
        <v>9</v>
      </c>
      <c r="E45" s="74">
        <v>0</v>
      </c>
      <c r="F45" s="75">
        <v>0</v>
      </c>
      <c r="G45" s="75">
        <v>0</v>
      </c>
      <c r="H45" s="75">
        <v>3</v>
      </c>
      <c r="I45" s="76">
        <f t="shared" si="154"/>
        <v>3</v>
      </c>
      <c r="J45" s="48">
        <v>202.68</v>
      </c>
      <c r="K45" s="49">
        <v>0</v>
      </c>
      <c r="L45" s="49">
        <v>0</v>
      </c>
      <c r="M45" s="49">
        <v>0</v>
      </c>
      <c r="N45" s="49">
        <v>92.6</v>
      </c>
      <c r="O45" s="49"/>
      <c r="P45" s="49">
        <v>153.9</v>
      </c>
      <c r="Q45" s="51">
        <v>449.18</v>
      </c>
      <c r="R45" s="52">
        <f t="shared" ref="R45:R50" si="176">Q45-J45-K45-N45-O45</f>
        <v>153.9</v>
      </c>
      <c r="S45" s="116"/>
      <c r="T45" s="48">
        <v>2058.7199999999998</v>
      </c>
      <c r="U45" s="49">
        <v>163.79</v>
      </c>
      <c r="V45" s="49">
        <v>0</v>
      </c>
      <c r="W45" s="49">
        <v>0</v>
      </c>
      <c r="X45" s="49">
        <v>222</v>
      </c>
      <c r="Y45" s="49"/>
      <c r="Z45" s="49">
        <v>414.9</v>
      </c>
      <c r="AA45" s="51">
        <v>2934.91</v>
      </c>
      <c r="AB45" s="53">
        <f t="shared" ref="AB45:AB50" si="177">AA45-T45-U45-X45-Y45</f>
        <v>490.40000000000009</v>
      </c>
      <c r="AC45" s="54"/>
      <c r="AD45" s="55">
        <f t="shared" si="155"/>
        <v>2261.3999999999996</v>
      </c>
      <c r="AE45" s="50">
        <f t="shared" si="156"/>
        <v>163.79</v>
      </c>
      <c r="AF45" s="50">
        <f t="shared" si="157"/>
        <v>314.60000000000002</v>
      </c>
      <c r="AG45" s="50"/>
      <c r="AH45" s="56">
        <f t="shared" si="158"/>
        <v>644.30000000000007</v>
      </c>
      <c r="AI45" s="57">
        <f t="shared" si="159"/>
        <v>449.18</v>
      </c>
      <c r="AJ45" s="58">
        <f t="shared" si="160"/>
        <v>2934.91</v>
      </c>
      <c r="AK45" s="59">
        <f t="shared" si="161"/>
        <v>2261.3999999999996</v>
      </c>
      <c r="AL45" s="60">
        <f t="shared" si="162"/>
        <v>163.79</v>
      </c>
      <c r="AM45" s="61">
        <f t="shared" si="163"/>
        <v>314.60000000000002</v>
      </c>
      <c r="AN45" s="61"/>
      <c r="AO45" s="62">
        <f t="shared" si="164"/>
        <v>644.30000000000007</v>
      </c>
      <c r="AP45" s="63">
        <f t="shared" si="165"/>
        <v>3384.0899999999997</v>
      </c>
      <c r="AQ45" s="64">
        <f t="shared" si="166"/>
        <v>568.79999999999995</v>
      </c>
      <c r="AR45" s="77"/>
      <c r="AS45" s="78">
        <f>AP44+AP45</f>
        <v>6071.43</v>
      </c>
      <c r="AV45" s="79" t="s">
        <v>35</v>
      </c>
      <c r="AW45" s="80">
        <f t="shared" si="167"/>
        <v>46056</v>
      </c>
      <c r="AX45" s="68">
        <f t="shared" ref="AX45:AX50" si="178">J45+K45+N45</f>
        <v>295.27999999999997</v>
      </c>
      <c r="AY45" s="68">
        <f t="shared" si="168"/>
        <v>153.9</v>
      </c>
      <c r="AZ45" s="69">
        <f t="shared" ref="AZ45:AZ50" si="179">T45+U45+X45</f>
        <v>2444.5099999999998</v>
      </c>
      <c r="BA45" s="69">
        <f t="shared" si="169"/>
        <v>490.40000000000009</v>
      </c>
      <c r="BB45" s="81">
        <f t="shared" si="170"/>
        <v>449.17999999999995</v>
      </c>
      <c r="BC45" s="82">
        <f t="shared" si="171"/>
        <v>2934.91</v>
      </c>
      <c r="BD45" s="81">
        <f t="shared" si="172"/>
        <v>2739.79</v>
      </c>
      <c r="BE45" s="82">
        <f t="shared" si="173"/>
        <v>644.30000000000007</v>
      </c>
      <c r="BF45" s="83">
        <f t="shared" si="174"/>
        <v>3384.09</v>
      </c>
      <c r="BG45" s="84">
        <f t="shared" si="175"/>
        <v>568.79999999999995</v>
      </c>
      <c r="BH45" s="85">
        <f>BF44+BF45</f>
        <v>6071.43</v>
      </c>
      <c r="BP45" s="12"/>
    </row>
    <row r="46" spans="1:70" s="110" customFormat="1" ht="14.25" customHeight="1" thickBot="1" x14ac:dyDescent="0.25">
      <c r="A46" s="494" t="s">
        <v>36</v>
      </c>
      <c r="B46" s="492">
        <v>46057</v>
      </c>
      <c r="C46" s="489">
        <v>3</v>
      </c>
      <c r="D46" s="74">
        <v>14</v>
      </c>
      <c r="E46" s="74">
        <v>0</v>
      </c>
      <c r="F46" s="75">
        <v>0</v>
      </c>
      <c r="G46" s="75">
        <v>0</v>
      </c>
      <c r="H46" s="75">
        <v>2</v>
      </c>
      <c r="I46" s="76">
        <f t="shared" si="154"/>
        <v>2</v>
      </c>
      <c r="J46" s="48">
        <v>597.02</v>
      </c>
      <c r="K46" s="49">
        <v>0</v>
      </c>
      <c r="L46" s="49">
        <v>0</v>
      </c>
      <c r="M46" s="49">
        <v>0</v>
      </c>
      <c r="N46" s="49">
        <v>55.3</v>
      </c>
      <c r="O46" s="49"/>
      <c r="P46" s="49">
        <v>309.10000000000002</v>
      </c>
      <c r="Q46" s="51">
        <v>961.42</v>
      </c>
      <c r="R46" s="52">
        <f t="shared" si="176"/>
        <v>309.09999999999997</v>
      </c>
      <c r="S46" s="116"/>
      <c r="T46" s="48">
        <v>1256.67</v>
      </c>
      <c r="U46" s="49">
        <v>146.05000000000001</v>
      </c>
      <c r="V46" s="49">
        <v>130.83000000000001</v>
      </c>
      <c r="W46" s="49">
        <v>0</v>
      </c>
      <c r="X46" s="49">
        <v>641.20000000000005</v>
      </c>
      <c r="Y46" s="49"/>
      <c r="Z46" s="49">
        <v>499.65</v>
      </c>
      <c r="AA46" s="51">
        <v>2616.5700000000002</v>
      </c>
      <c r="AB46" s="53">
        <f t="shared" si="177"/>
        <v>572.65000000000009</v>
      </c>
      <c r="AC46" s="54"/>
      <c r="AD46" s="55">
        <f t="shared" si="155"/>
        <v>1853.69</v>
      </c>
      <c r="AE46" s="50">
        <f t="shared" si="156"/>
        <v>146.05000000000001</v>
      </c>
      <c r="AF46" s="50">
        <f t="shared" si="157"/>
        <v>696.5</v>
      </c>
      <c r="AG46" s="50"/>
      <c r="AH46" s="56">
        <f t="shared" si="158"/>
        <v>881.75</v>
      </c>
      <c r="AI46" s="57">
        <f t="shared" si="159"/>
        <v>961.42</v>
      </c>
      <c r="AJ46" s="58">
        <f t="shared" si="160"/>
        <v>2616.5700000000002</v>
      </c>
      <c r="AK46" s="59">
        <f t="shared" si="161"/>
        <v>1853.69</v>
      </c>
      <c r="AL46" s="60">
        <f t="shared" si="162"/>
        <v>276.88</v>
      </c>
      <c r="AM46" s="61">
        <f t="shared" si="163"/>
        <v>696.5</v>
      </c>
      <c r="AN46" s="61"/>
      <c r="AO46" s="62">
        <f t="shared" si="164"/>
        <v>881.75</v>
      </c>
      <c r="AP46" s="63">
        <f t="shared" si="165"/>
        <v>3577.9900000000002</v>
      </c>
      <c r="AQ46" s="64">
        <f t="shared" si="166"/>
        <v>808.75</v>
      </c>
      <c r="AR46" s="77"/>
      <c r="AS46" s="78">
        <f>AP45+AP46</f>
        <v>6962.08</v>
      </c>
      <c r="AV46" s="111" t="s">
        <v>36</v>
      </c>
      <c r="AW46" s="112">
        <f t="shared" si="167"/>
        <v>46057</v>
      </c>
      <c r="AX46" s="69">
        <f t="shared" si="178"/>
        <v>652.31999999999994</v>
      </c>
      <c r="AY46" s="69">
        <f t="shared" si="168"/>
        <v>309.09999999999997</v>
      </c>
      <c r="AZ46" s="69">
        <f t="shared" si="179"/>
        <v>2043.92</v>
      </c>
      <c r="BA46" s="69">
        <f t="shared" si="169"/>
        <v>572.65000000000009</v>
      </c>
      <c r="BB46" s="81">
        <f t="shared" si="170"/>
        <v>961.41999999999985</v>
      </c>
      <c r="BC46" s="82">
        <f t="shared" si="171"/>
        <v>2616.5700000000002</v>
      </c>
      <c r="BD46" s="81">
        <f t="shared" si="172"/>
        <v>2696.24</v>
      </c>
      <c r="BE46" s="82">
        <f t="shared" si="173"/>
        <v>881.75</v>
      </c>
      <c r="BF46" s="83">
        <f t="shared" si="174"/>
        <v>3577.99</v>
      </c>
      <c r="BG46" s="84">
        <f t="shared" si="175"/>
        <v>808.75</v>
      </c>
      <c r="BH46" s="109">
        <f>BH45+BF46</f>
        <v>9649.42</v>
      </c>
      <c r="BP46" s="113"/>
    </row>
    <row r="47" spans="1:70" s="8" customFormat="1" ht="14.25" customHeight="1" thickBot="1" x14ac:dyDescent="0.25">
      <c r="A47" s="493" t="s">
        <v>37</v>
      </c>
      <c r="B47" s="492">
        <v>46058</v>
      </c>
      <c r="C47" s="489">
        <v>5</v>
      </c>
      <c r="D47" s="74">
        <v>12</v>
      </c>
      <c r="E47" s="74">
        <v>0</v>
      </c>
      <c r="F47" s="75">
        <v>0</v>
      </c>
      <c r="G47" s="75">
        <v>0</v>
      </c>
      <c r="H47" s="75">
        <v>4</v>
      </c>
      <c r="I47" s="76">
        <f t="shared" si="154"/>
        <v>4</v>
      </c>
      <c r="J47" s="48">
        <v>344.48</v>
      </c>
      <c r="K47" s="49">
        <v>0</v>
      </c>
      <c r="L47" s="49">
        <v>27.2</v>
      </c>
      <c r="M47" s="49">
        <v>0</v>
      </c>
      <c r="N47" s="49">
        <v>95.5</v>
      </c>
      <c r="O47" s="49"/>
      <c r="P47" s="49">
        <v>406.75</v>
      </c>
      <c r="Q47" s="51">
        <v>846.73</v>
      </c>
      <c r="R47" s="52">
        <f t="shared" si="176"/>
        <v>406.75</v>
      </c>
      <c r="S47" s="116"/>
      <c r="T47" s="48">
        <v>2481.77</v>
      </c>
      <c r="U47" s="49">
        <v>127.95</v>
      </c>
      <c r="V47" s="49">
        <v>172.14</v>
      </c>
      <c r="W47" s="49">
        <v>0</v>
      </c>
      <c r="X47" s="49">
        <v>386.9</v>
      </c>
      <c r="Y47" s="49"/>
      <c r="Z47" s="49">
        <v>181.2</v>
      </c>
      <c r="AA47" s="51">
        <v>3257.82</v>
      </c>
      <c r="AB47" s="53">
        <f t="shared" si="177"/>
        <v>261.20000000000016</v>
      </c>
      <c r="AC47" s="54"/>
      <c r="AD47" s="55">
        <f t="shared" si="155"/>
        <v>2826.25</v>
      </c>
      <c r="AE47" s="50">
        <f t="shared" si="156"/>
        <v>127.95</v>
      </c>
      <c r="AF47" s="50">
        <f t="shared" si="157"/>
        <v>482.4</v>
      </c>
      <c r="AG47" s="50"/>
      <c r="AH47" s="56">
        <f t="shared" si="158"/>
        <v>667.95000000000016</v>
      </c>
      <c r="AI47" s="57">
        <f t="shared" si="159"/>
        <v>846.73</v>
      </c>
      <c r="AJ47" s="58">
        <f t="shared" si="160"/>
        <v>3257.82</v>
      </c>
      <c r="AK47" s="59">
        <f t="shared" si="161"/>
        <v>2826.25</v>
      </c>
      <c r="AL47" s="60">
        <f t="shared" si="162"/>
        <v>327.28999999999996</v>
      </c>
      <c r="AM47" s="61">
        <f t="shared" si="163"/>
        <v>482.4</v>
      </c>
      <c r="AN47" s="61"/>
      <c r="AO47" s="62">
        <f t="shared" si="164"/>
        <v>667.95000000000016</v>
      </c>
      <c r="AP47" s="63">
        <f t="shared" si="165"/>
        <v>4104.55</v>
      </c>
      <c r="AQ47" s="64">
        <f t="shared" si="166"/>
        <v>587.95000000000005</v>
      </c>
      <c r="AR47" s="86">
        <v>0.28299999999999997</v>
      </c>
      <c r="AS47" s="78">
        <f>AS46+AP47</f>
        <v>11066.630000000001</v>
      </c>
      <c r="AV47" s="79" t="s">
        <v>37</v>
      </c>
      <c r="AW47" s="80">
        <f t="shared" si="167"/>
        <v>46058</v>
      </c>
      <c r="AX47" s="68">
        <f t="shared" si="178"/>
        <v>439.98</v>
      </c>
      <c r="AY47" s="68">
        <f t="shared" si="168"/>
        <v>406.75</v>
      </c>
      <c r="AZ47" s="69">
        <f t="shared" si="179"/>
        <v>2996.62</v>
      </c>
      <c r="BA47" s="69">
        <f t="shared" si="169"/>
        <v>261.20000000000016</v>
      </c>
      <c r="BB47" s="81">
        <f t="shared" si="170"/>
        <v>846.73</v>
      </c>
      <c r="BC47" s="82">
        <f t="shared" si="171"/>
        <v>3257.82</v>
      </c>
      <c r="BD47" s="81">
        <f t="shared" si="172"/>
        <v>3436.6</v>
      </c>
      <c r="BE47" s="82">
        <f t="shared" si="173"/>
        <v>667.95000000000016</v>
      </c>
      <c r="BF47" s="83">
        <f t="shared" si="174"/>
        <v>4104.55</v>
      </c>
      <c r="BG47" s="84">
        <f t="shared" si="175"/>
        <v>587.95000000000005</v>
      </c>
      <c r="BH47" s="85">
        <f>BH46+BF47</f>
        <v>13753.970000000001</v>
      </c>
      <c r="BP47" s="12"/>
    </row>
    <row r="48" spans="1:70" s="8" customFormat="1" ht="14.25" customHeight="1" thickBot="1" x14ac:dyDescent="0.25">
      <c r="A48" s="493" t="s">
        <v>38</v>
      </c>
      <c r="B48" s="492">
        <v>46059</v>
      </c>
      <c r="C48" s="489">
        <v>11</v>
      </c>
      <c r="D48" s="74">
        <v>15</v>
      </c>
      <c r="E48" s="74">
        <v>0</v>
      </c>
      <c r="F48" s="75">
        <v>0</v>
      </c>
      <c r="G48" s="75">
        <v>0</v>
      </c>
      <c r="H48" s="75">
        <v>8</v>
      </c>
      <c r="I48" s="76">
        <f t="shared" si="154"/>
        <v>8</v>
      </c>
      <c r="J48" s="48">
        <v>734.78</v>
      </c>
      <c r="K48" s="49">
        <v>0</v>
      </c>
      <c r="L48" s="49">
        <v>48.42</v>
      </c>
      <c r="M48" s="49">
        <v>0</v>
      </c>
      <c r="N48" s="49">
        <v>52.7</v>
      </c>
      <c r="O48" s="49"/>
      <c r="P48" s="49">
        <v>222.9</v>
      </c>
      <c r="Q48" s="51">
        <v>1010.38</v>
      </c>
      <c r="R48" s="52">
        <f t="shared" si="176"/>
        <v>222.90000000000003</v>
      </c>
      <c r="S48" s="116"/>
      <c r="T48" s="48">
        <v>2812.08</v>
      </c>
      <c r="U48" s="49">
        <v>507.6</v>
      </c>
      <c r="V48" s="49">
        <v>122.21</v>
      </c>
      <c r="W48" s="49">
        <v>164.55</v>
      </c>
      <c r="X48" s="49">
        <v>1261.5999999999999</v>
      </c>
      <c r="Y48" s="49"/>
      <c r="Z48" s="49">
        <v>932.1</v>
      </c>
      <c r="AA48" s="51">
        <v>5614.38</v>
      </c>
      <c r="AB48" s="53">
        <f t="shared" si="177"/>
        <v>1033.1000000000004</v>
      </c>
      <c r="AC48" s="54"/>
      <c r="AD48" s="55">
        <f t="shared" si="155"/>
        <v>3546.8599999999997</v>
      </c>
      <c r="AE48" s="50">
        <f t="shared" si="156"/>
        <v>507.6</v>
      </c>
      <c r="AF48" s="50">
        <f t="shared" si="157"/>
        <v>1314.3</v>
      </c>
      <c r="AG48" s="50"/>
      <c r="AH48" s="56">
        <f t="shared" si="158"/>
        <v>1256.0000000000005</v>
      </c>
      <c r="AI48" s="57">
        <f t="shared" si="159"/>
        <v>1010.38</v>
      </c>
      <c r="AJ48" s="58">
        <f t="shared" si="160"/>
        <v>5614.38</v>
      </c>
      <c r="AK48" s="59">
        <f t="shared" si="161"/>
        <v>3546.8599999999997</v>
      </c>
      <c r="AL48" s="60">
        <f t="shared" si="162"/>
        <v>842.78</v>
      </c>
      <c r="AM48" s="61">
        <f t="shared" si="163"/>
        <v>1314.3</v>
      </c>
      <c r="AN48" s="61"/>
      <c r="AO48" s="62">
        <f t="shared" si="164"/>
        <v>1256.0000000000005</v>
      </c>
      <c r="AP48" s="63">
        <f t="shared" si="165"/>
        <v>6624.76</v>
      </c>
      <c r="AQ48" s="64">
        <f t="shared" si="166"/>
        <v>1155</v>
      </c>
      <c r="AR48" s="87" t="s">
        <v>39</v>
      </c>
      <c r="AS48" s="78">
        <f>AS47+AP48</f>
        <v>17691.39</v>
      </c>
      <c r="AV48" s="79" t="s">
        <v>38</v>
      </c>
      <c r="AW48" s="80">
        <f t="shared" si="167"/>
        <v>46059</v>
      </c>
      <c r="AX48" s="68">
        <f t="shared" si="178"/>
        <v>787.48</v>
      </c>
      <c r="AY48" s="68">
        <f t="shared" si="168"/>
        <v>222.90000000000003</v>
      </c>
      <c r="AZ48" s="69">
        <f t="shared" si="179"/>
        <v>4581.28</v>
      </c>
      <c r="BA48" s="69">
        <f t="shared" si="169"/>
        <v>1033.1000000000004</v>
      </c>
      <c r="BB48" s="81">
        <f t="shared" si="170"/>
        <v>1010.3800000000001</v>
      </c>
      <c r="BC48" s="82">
        <f t="shared" si="171"/>
        <v>5614.38</v>
      </c>
      <c r="BD48" s="81">
        <f t="shared" si="172"/>
        <v>5368.76</v>
      </c>
      <c r="BE48" s="82">
        <f t="shared" si="173"/>
        <v>1256.0000000000005</v>
      </c>
      <c r="BF48" s="83">
        <f t="shared" si="174"/>
        <v>6624.76</v>
      </c>
      <c r="BG48" s="84">
        <f t="shared" si="175"/>
        <v>1155</v>
      </c>
      <c r="BH48" s="85">
        <f>BH47+BF48</f>
        <v>20378.730000000003</v>
      </c>
      <c r="BP48" s="12"/>
      <c r="BR48" s="88"/>
    </row>
    <row r="49" spans="1:70" s="8" customFormat="1" ht="14.25" customHeight="1" thickBot="1" x14ac:dyDescent="0.25">
      <c r="A49" s="493" t="s">
        <v>40</v>
      </c>
      <c r="B49" s="492">
        <v>46060</v>
      </c>
      <c r="C49" s="489">
        <v>6</v>
      </c>
      <c r="D49" s="74">
        <v>8</v>
      </c>
      <c r="E49" s="74">
        <v>1</v>
      </c>
      <c r="F49" s="75">
        <v>0</v>
      </c>
      <c r="G49" s="75">
        <v>1</v>
      </c>
      <c r="H49" s="75">
        <v>2</v>
      </c>
      <c r="I49" s="76">
        <f t="shared" si="154"/>
        <v>3</v>
      </c>
      <c r="J49" s="48">
        <v>298.61</v>
      </c>
      <c r="K49" s="49">
        <v>0</v>
      </c>
      <c r="L49" s="49">
        <v>0</v>
      </c>
      <c r="M49" s="49">
        <v>0</v>
      </c>
      <c r="N49" s="49">
        <v>44.8</v>
      </c>
      <c r="O49" s="49"/>
      <c r="P49" s="49">
        <v>173.2</v>
      </c>
      <c r="Q49" s="51">
        <v>516.61</v>
      </c>
      <c r="R49" s="52">
        <f>Q49-J49-K49-N49-O49</f>
        <v>173.2</v>
      </c>
      <c r="S49" s="116"/>
      <c r="T49" s="48">
        <v>3418.96</v>
      </c>
      <c r="U49" s="49">
        <v>451.22</v>
      </c>
      <c r="V49" s="49">
        <v>70.64</v>
      </c>
      <c r="W49" s="49">
        <v>0</v>
      </c>
      <c r="X49" s="49">
        <v>643.9</v>
      </c>
      <c r="Y49" s="49">
        <v>48.3</v>
      </c>
      <c r="Z49" s="49">
        <v>1226.8499999999999</v>
      </c>
      <c r="AA49" s="51">
        <v>5873.23</v>
      </c>
      <c r="AB49" s="53">
        <f t="shared" si="177"/>
        <v>1310.8499999999997</v>
      </c>
      <c r="AC49" s="54"/>
      <c r="AD49" s="55">
        <f t="shared" si="155"/>
        <v>3717.57</v>
      </c>
      <c r="AE49" s="50">
        <f t="shared" si="156"/>
        <v>451.22</v>
      </c>
      <c r="AF49" s="50">
        <f t="shared" si="157"/>
        <v>688.69999999999993</v>
      </c>
      <c r="AG49" s="50"/>
      <c r="AH49" s="56">
        <f t="shared" si="158"/>
        <v>1484.0499999999997</v>
      </c>
      <c r="AI49" s="57">
        <f t="shared" si="159"/>
        <v>516.61</v>
      </c>
      <c r="AJ49" s="58">
        <f t="shared" si="160"/>
        <v>5873.23</v>
      </c>
      <c r="AK49" s="59">
        <f t="shared" si="161"/>
        <v>3717.57</v>
      </c>
      <c r="AL49" s="60">
        <f t="shared" si="162"/>
        <v>521.86</v>
      </c>
      <c r="AM49" s="61">
        <f t="shared" si="163"/>
        <v>688.69999999999993</v>
      </c>
      <c r="AN49" s="61"/>
      <c r="AO49" s="62">
        <f t="shared" si="164"/>
        <v>1484.0499999999997</v>
      </c>
      <c r="AP49" s="63">
        <f t="shared" si="165"/>
        <v>6389.8399999999992</v>
      </c>
      <c r="AQ49" s="64">
        <f t="shared" si="166"/>
        <v>1400.05</v>
      </c>
      <c r="AR49" s="89"/>
      <c r="AS49" s="78">
        <f>AS48+AP49</f>
        <v>24081.23</v>
      </c>
      <c r="AV49" s="79" t="s">
        <v>40</v>
      </c>
      <c r="AW49" s="80">
        <f t="shared" si="167"/>
        <v>46060</v>
      </c>
      <c r="AX49" s="68">
        <f t="shared" si="178"/>
        <v>343.41</v>
      </c>
      <c r="AY49" s="68">
        <f t="shared" si="168"/>
        <v>173.2</v>
      </c>
      <c r="AZ49" s="69">
        <f t="shared" si="179"/>
        <v>4514.08</v>
      </c>
      <c r="BA49" s="69">
        <f t="shared" si="169"/>
        <v>1310.8499999999997</v>
      </c>
      <c r="BB49" s="81">
        <f t="shared" si="170"/>
        <v>516.61</v>
      </c>
      <c r="BC49" s="82">
        <f t="shared" si="171"/>
        <v>5824.9299999999994</v>
      </c>
      <c r="BD49" s="81">
        <f t="shared" si="172"/>
        <v>4857.49</v>
      </c>
      <c r="BE49" s="82">
        <f t="shared" si="173"/>
        <v>1484.0499999999997</v>
      </c>
      <c r="BF49" s="83">
        <f t="shared" si="174"/>
        <v>6341.5399999999991</v>
      </c>
      <c r="BG49" s="84">
        <f t="shared" si="175"/>
        <v>1400.05</v>
      </c>
      <c r="BH49" s="85">
        <f>BH48+BF49</f>
        <v>26720.270000000004</v>
      </c>
      <c r="BP49" s="12"/>
    </row>
    <row r="50" spans="1:70" s="8" customFormat="1" ht="14.25" customHeight="1" x14ac:dyDescent="0.2">
      <c r="A50" s="493" t="s">
        <v>41</v>
      </c>
      <c r="B50" s="492">
        <v>46061</v>
      </c>
      <c r="C50" s="489">
        <v>7</v>
      </c>
      <c r="D50" s="74">
        <v>8</v>
      </c>
      <c r="E50" s="74">
        <v>0</v>
      </c>
      <c r="F50" s="75">
        <v>1</v>
      </c>
      <c r="G50" s="75">
        <v>1</v>
      </c>
      <c r="H50" s="75">
        <v>4</v>
      </c>
      <c r="I50" s="76">
        <f t="shared" si="154"/>
        <v>6</v>
      </c>
      <c r="J50" s="48">
        <v>687.36</v>
      </c>
      <c r="K50" s="49">
        <v>0</v>
      </c>
      <c r="L50" s="49">
        <v>0</v>
      </c>
      <c r="M50" s="49">
        <v>0</v>
      </c>
      <c r="N50" s="49">
        <v>102.1</v>
      </c>
      <c r="O50" s="49"/>
      <c r="P50" s="49">
        <v>111.15</v>
      </c>
      <c r="Q50" s="51">
        <v>900.61</v>
      </c>
      <c r="R50" s="52">
        <f t="shared" si="176"/>
        <v>111.15</v>
      </c>
      <c r="S50" s="116"/>
      <c r="T50" s="48">
        <v>1125.57</v>
      </c>
      <c r="U50" s="49">
        <v>342.31</v>
      </c>
      <c r="V50" s="49">
        <v>261.33</v>
      </c>
      <c r="W50" s="49">
        <v>0</v>
      </c>
      <c r="X50" s="49">
        <v>622.29999999999995</v>
      </c>
      <c r="Y50" s="49"/>
      <c r="Z50" s="49">
        <v>562.65</v>
      </c>
      <c r="AA50" s="51">
        <v>2749.83</v>
      </c>
      <c r="AB50" s="53">
        <f t="shared" si="177"/>
        <v>659.65000000000009</v>
      </c>
      <c r="AC50" s="54"/>
      <c r="AD50" s="55">
        <f t="shared" si="155"/>
        <v>1812.9299999999998</v>
      </c>
      <c r="AE50" s="50">
        <f t="shared" si="156"/>
        <v>342.31</v>
      </c>
      <c r="AF50" s="50">
        <f t="shared" si="157"/>
        <v>724.4</v>
      </c>
      <c r="AG50" s="50"/>
      <c r="AH50" s="56">
        <f t="shared" si="158"/>
        <v>770.80000000000007</v>
      </c>
      <c r="AI50" s="57">
        <f t="shared" si="159"/>
        <v>900.61</v>
      </c>
      <c r="AJ50" s="58">
        <f t="shared" si="160"/>
        <v>2749.83</v>
      </c>
      <c r="AK50" s="59">
        <f t="shared" si="161"/>
        <v>1812.9299999999998</v>
      </c>
      <c r="AL50" s="60">
        <f t="shared" si="162"/>
        <v>603.64</v>
      </c>
      <c r="AM50" s="61">
        <f t="shared" si="163"/>
        <v>724.4</v>
      </c>
      <c r="AN50" s="61"/>
      <c r="AO50" s="62">
        <f t="shared" si="164"/>
        <v>770.80000000000007</v>
      </c>
      <c r="AP50" s="63">
        <f t="shared" si="165"/>
        <v>3650.44</v>
      </c>
      <c r="AQ50" s="64">
        <f t="shared" si="166"/>
        <v>673.8</v>
      </c>
      <c r="AR50" s="90">
        <f>AR49-AM51</f>
        <v>-4764.9999999999991</v>
      </c>
      <c r="AS50" s="78">
        <f>AS49+AP50</f>
        <v>27731.67</v>
      </c>
      <c r="AV50" s="79" t="s">
        <v>41</v>
      </c>
      <c r="AW50" s="80">
        <f t="shared" si="167"/>
        <v>46061</v>
      </c>
      <c r="AX50" s="68">
        <f t="shared" si="178"/>
        <v>789.46</v>
      </c>
      <c r="AY50" s="68">
        <f t="shared" si="168"/>
        <v>111.15</v>
      </c>
      <c r="AZ50" s="69">
        <f t="shared" si="179"/>
        <v>2090.1799999999998</v>
      </c>
      <c r="BA50" s="69">
        <f t="shared" si="169"/>
        <v>659.65000000000009</v>
      </c>
      <c r="BB50" s="81">
        <f t="shared" si="170"/>
        <v>900.61</v>
      </c>
      <c r="BC50" s="82">
        <f t="shared" si="171"/>
        <v>2749.83</v>
      </c>
      <c r="BD50" s="81">
        <f t="shared" si="172"/>
        <v>2879.64</v>
      </c>
      <c r="BE50" s="82">
        <f t="shared" si="173"/>
        <v>770.80000000000007</v>
      </c>
      <c r="BF50" s="83">
        <f t="shared" si="174"/>
        <v>3650.44</v>
      </c>
      <c r="BG50" s="84">
        <f t="shared" si="175"/>
        <v>673.8</v>
      </c>
      <c r="BH50" s="85">
        <f>BH49+BF50</f>
        <v>30370.710000000003</v>
      </c>
      <c r="BP50" s="12"/>
    </row>
    <row r="51" spans="1:70" s="105" customFormat="1" ht="14.25" customHeight="1" thickBot="1" x14ac:dyDescent="0.25">
      <c r="A51" s="495" t="s">
        <v>42</v>
      </c>
      <c r="B51" s="496"/>
      <c r="C51" s="490">
        <f>SUM(C44:C50)</f>
        <v>37</v>
      </c>
      <c r="D51" s="93">
        <f>SUM(D44:D50)</f>
        <v>75</v>
      </c>
      <c r="E51" s="14">
        <f>SUM(E44:E50)</f>
        <v>1</v>
      </c>
      <c r="F51" s="527">
        <f>SUM(I44:I50)</f>
        <v>27</v>
      </c>
      <c r="G51" s="528"/>
      <c r="H51" s="528"/>
      <c r="I51" s="387">
        <f>SUM(C51:H51)</f>
        <v>140</v>
      </c>
      <c r="J51" s="94">
        <f t="shared" ref="J51:R51" si="180">SUM(J44:J50)</f>
        <v>3292.1400000000003</v>
      </c>
      <c r="K51" s="95">
        <f t="shared" si="180"/>
        <v>0</v>
      </c>
      <c r="L51" s="95">
        <f t="shared" si="180"/>
        <v>75.62</v>
      </c>
      <c r="M51" s="95">
        <f t="shared" si="180"/>
        <v>0</v>
      </c>
      <c r="N51" s="95">
        <f t="shared" si="180"/>
        <v>460.9</v>
      </c>
      <c r="O51" s="95"/>
      <c r="P51" s="95">
        <f t="shared" si="180"/>
        <v>1718.6500000000003</v>
      </c>
      <c r="Q51" s="96">
        <f t="shared" si="180"/>
        <v>5471.69</v>
      </c>
      <c r="R51" s="97">
        <f t="shared" si="180"/>
        <v>1718.6500000000003</v>
      </c>
      <c r="S51" s="117"/>
      <c r="T51" s="94">
        <f t="shared" ref="T51:AA51" si="181">SUM(T44:T50)</f>
        <v>13865.3</v>
      </c>
      <c r="U51" s="95">
        <f t="shared" si="181"/>
        <v>1738.92</v>
      </c>
      <c r="V51" s="95">
        <f t="shared" si="181"/>
        <v>828.91000000000008</v>
      </c>
      <c r="W51" s="95">
        <f t="shared" si="181"/>
        <v>184.45000000000002</v>
      </c>
      <c r="X51" s="95">
        <f t="shared" si="181"/>
        <v>4304.1000000000004</v>
      </c>
      <c r="Y51" s="95"/>
      <c r="Z51" s="95">
        <f t="shared" si="181"/>
        <v>4410.7</v>
      </c>
      <c r="AA51" s="96">
        <f t="shared" si="181"/>
        <v>24947.32</v>
      </c>
      <c r="AB51" s="98">
        <f>SUM(AB44:AB50)</f>
        <v>4990.7000000000007</v>
      </c>
      <c r="AC51" s="99"/>
      <c r="AD51" s="100">
        <f t="shared" ref="AD51:AP51" si="182">SUM(AD44:AD50)</f>
        <v>17157.439999999999</v>
      </c>
      <c r="AE51" s="95">
        <f t="shared" si="182"/>
        <v>1738.92</v>
      </c>
      <c r="AF51" s="95">
        <f t="shared" si="182"/>
        <v>4764.9999999999991</v>
      </c>
      <c r="AG51" s="95"/>
      <c r="AH51" s="95">
        <f t="shared" si="182"/>
        <v>6709.3500000000013</v>
      </c>
      <c r="AI51" s="95">
        <f t="shared" si="182"/>
        <v>5471.69</v>
      </c>
      <c r="AJ51" s="95">
        <f t="shared" si="182"/>
        <v>24947.32</v>
      </c>
      <c r="AK51" s="101">
        <f t="shared" si="182"/>
        <v>17157.439999999999</v>
      </c>
      <c r="AL51" s="95">
        <f t="shared" si="182"/>
        <v>2827.8999999999996</v>
      </c>
      <c r="AM51" s="95">
        <f t="shared" si="182"/>
        <v>4764.9999999999991</v>
      </c>
      <c r="AN51" s="95"/>
      <c r="AO51" s="95">
        <f t="shared" si="182"/>
        <v>6709.3500000000013</v>
      </c>
      <c r="AP51" s="95">
        <f t="shared" si="182"/>
        <v>30419.010000000002</v>
      </c>
      <c r="AQ51" s="102">
        <f>SUM(AQ44:AQ50)</f>
        <v>6129.35</v>
      </c>
      <c r="AR51" s="103">
        <f>AR50</f>
        <v>-4764.9999999999991</v>
      </c>
      <c r="AS51" s="104">
        <f>AP51+AR51</f>
        <v>25654.010000000002</v>
      </c>
      <c r="AV51" s="525" t="s">
        <v>42</v>
      </c>
      <c r="AW51" s="526"/>
      <c r="AX51" s="95">
        <f t="shared" ref="AX51:BD51" si="183">SUM(AX44:AX50)</f>
        <v>3753.04</v>
      </c>
      <c r="AY51" s="95">
        <f t="shared" si="183"/>
        <v>1718.6500000000003</v>
      </c>
      <c r="AZ51" s="95">
        <f t="shared" si="183"/>
        <v>19908.32</v>
      </c>
      <c r="BA51" s="95">
        <f t="shared" si="183"/>
        <v>4990.7000000000007</v>
      </c>
      <c r="BB51" s="95">
        <f t="shared" si="183"/>
        <v>5471.69</v>
      </c>
      <c r="BC51" s="95">
        <f t="shared" si="183"/>
        <v>24899.019999999997</v>
      </c>
      <c r="BD51" s="95">
        <f t="shared" si="183"/>
        <v>23661.360000000001</v>
      </c>
      <c r="BE51" s="95">
        <f>SUM(BE44:BE50)</f>
        <v>6709.3500000000013</v>
      </c>
      <c r="BF51" s="95">
        <f t="shared" ref="BF51:BG51" si="184">SUM(BF44:BF50)</f>
        <v>30370.710000000003</v>
      </c>
      <c r="BG51" s="95">
        <f t="shared" si="184"/>
        <v>6129.35</v>
      </c>
      <c r="BP51" s="106"/>
    </row>
    <row r="52" spans="1:70" s="8" customFormat="1" ht="14.25" customHeight="1" thickBot="1" x14ac:dyDescent="0.25">
      <c r="A52" s="491" t="s">
        <v>34</v>
      </c>
      <c r="B52" s="492">
        <v>46062</v>
      </c>
      <c r="C52" s="45">
        <v>5</v>
      </c>
      <c r="D52" s="45">
        <v>6</v>
      </c>
      <c r="E52" s="514">
        <v>0</v>
      </c>
      <c r="F52" s="510">
        <v>0</v>
      </c>
      <c r="G52" s="509">
        <v>0</v>
      </c>
      <c r="H52" s="509">
        <v>1</v>
      </c>
      <c r="I52" s="47">
        <f t="shared" ref="I52:I58" si="185">SUM(F52:H52)</f>
        <v>1</v>
      </c>
      <c r="J52" s="48">
        <v>541.79999999999995</v>
      </c>
      <c r="K52" s="49">
        <v>0</v>
      </c>
      <c r="L52" s="49">
        <v>0</v>
      </c>
      <c r="M52" s="49">
        <v>0</v>
      </c>
      <c r="N52" s="49">
        <v>20.9</v>
      </c>
      <c r="O52" s="49"/>
      <c r="P52" s="49">
        <v>174.15</v>
      </c>
      <c r="Q52" s="51">
        <v>736.85</v>
      </c>
      <c r="R52" s="52">
        <f>Q52-J52-K52-N52-O52</f>
        <v>174.15000000000006</v>
      </c>
      <c r="S52" s="116"/>
      <c r="T52" s="48">
        <v>955.02</v>
      </c>
      <c r="U52" s="49">
        <v>256.98</v>
      </c>
      <c r="V52" s="49">
        <v>243.59</v>
      </c>
      <c r="W52" s="49">
        <v>0</v>
      </c>
      <c r="X52" s="49">
        <v>303.3</v>
      </c>
      <c r="Y52" s="49"/>
      <c r="Z52" s="49">
        <v>103.25</v>
      </c>
      <c r="AA52" s="51">
        <v>1697.55</v>
      </c>
      <c r="AB52" s="53">
        <f>AA52-T52-U52-X52-Y52</f>
        <v>182.24999999999994</v>
      </c>
      <c r="AC52" s="54"/>
      <c r="AD52" s="55">
        <f t="shared" ref="AD52:AD58" si="186">T52+J52</f>
        <v>1496.82</v>
      </c>
      <c r="AE52" s="50">
        <f t="shared" ref="AE52:AE58" si="187">K52+U52</f>
        <v>256.98</v>
      </c>
      <c r="AF52" s="50">
        <f t="shared" ref="AF52:AF58" si="188">N52+X52</f>
        <v>324.2</v>
      </c>
      <c r="AG52" s="50"/>
      <c r="AH52" s="56">
        <f t="shared" ref="AH52:AH58" si="189">R52+AB52</f>
        <v>356.4</v>
      </c>
      <c r="AI52" s="57">
        <f t="shared" ref="AI52:AI58" si="190">Q52</f>
        <v>736.85</v>
      </c>
      <c r="AJ52" s="58">
        <f t="shared" ref="AJ52:AJ58" si="191">AA52</f>
        <v>1697.55</v>
      </c>
      <c r="AK52" s="59">
        <f t="shared" ref="AK52:AK58" si="192">AD52</f>
        <v>1496.82</v>
      </c>
      <c r="AL52" s="60">
        <f t="shared" ref="AL52:AL58" si="193">K52+L52+M52+U52+V52+W52</f>
        <v>500.57000000000005</v>
      </c>
      <c r="AM52" s="61">
        <f t="shared" ref="AM52:AM58" si="194">N52+X52</f>
        <v>324.2</v>
      </c>
      <c r="AN52" s="61"/>
      <c r="AO52" s="62">
        <f t="shared" ref="AO52:AO58" si="195">R52+AB52</f>
        <v>356.4</v>
      </c>
      <c r="AP52" s="63">
        <f t="shared" ref="AP52:AP58" si="196">AI52+AJ52</f>
        <v>2434.4</v>
      </c>
      <c r="AQ52" s="64">
        <f t="shared" ref="AQ52:AQ58" si="197">P52+Z52</f>
        <v>277.39999999999998</v>
      </c>
      <c r="AR52" s="65"/>
      <c r="AS52" s="33"/>
      <c r="AV52" s="66" t="s">
        <v>34</v>
      </c>
      <c r="AW52" s="67">
        <f t="shared" ref="AW52:AW58" si="198">B52</f>
        <v>46062</v>
      </c>
      <c r="AX52" s="68">
        <f>J52+K52+N52</f>
        <v>562.69999999999993</v>
      </c>
      <c r="AY52" s="68">
        <f t="shared" ref="AY52:AY58" si="199">R52</f>
        <v>174.15000000000006</v>
      </c>
      <c r="AZ52" s="69">
        <f>T52+U52+X52</f>
        <v>1515.3</v>
      </c>
      <c r="BA52" s="69">
        <f t="shared" ref="BA52:BA58" si="200">AB52</f>
        <v>182.24999999999994</v>
      </c>
      <c r="BB52" s="70">
        <f t="shared" ref="BB52:BB58" si="201">AX52+AY52</f>
        <v>736.85</v>
      </c>
      <c r="BC52" s="71">
        <f t="shared" ref="BC52:BC58" si="202">AZ52+BA52</f>
        <v>1697.55</v>
      </c>
      <c r="BD52" s="70">
        <f t="shared" ref="BD52:BD58" si="203">AX52+AZ52</f>
        <v>2078</v>
      </c>
      <c r="BE52" s="71">
        <f t="shared" ref="BE52:BE58" si="204">AY52+BA52</f>
        <v>356.4</v>
      </c>
      <c r="BF52" s="72">
        <f t="shared" ref="BF52:BF58" si="205">BD52+BE52</f>
        <v>2434.4</v>
      </c>
      <c r="BG52" s="73">
        <f t="shared" ref="BG52:BG58" si="206">AQ52</f>
        <v>277.39999999999998</v>
      </c>
      <c r="BP52" s="12"/>
    </row>
    <row r="53" spans="1:70" s="8" customFormat="1" ht="14.25" customHeight="1" thickBot="1" x14ac:dyDescent="0.25">
      <c r="A53" s="493" t="s">
        <v>35</v>
      </c>
      <c r="B53" s="492">
        <v>46063</v>
      </c>
      <c r="C53" s="74">
        <v>3</v>
      </c>
      <c r="D53" s="74">
        <v>7</v>
      </c>
      <c r="E53" s="515">
        <v>2</v>
      </c>
      <c r="F53" s="510">
        <v>0</v>
      </c>
      <c r="G53" s="509">
        <v>0</v>
      </c>
      <c r="H53" s="509">
        <v>2</v>
      </c>
      <c r="I53" s="76">
        <f t="shared" si="185"/>
        <v>2</v>
      </c>
      <c r="J53" s="48">
        <v>322.87</v>
      </c>
      <c r="K53" s="49">
        <v>0</v>
      </c>
      <c r="L53" s="49">
        <v>0</v>
      </c>
      <c r="M53" s="49">
        <v>0</v>
      </c>
      <c r="N53" s="49">
        <v>22.9</v>
      </c>
      <c r="O53" s="49">
        <v>32.799999999999997</v>
      </c>
      <c r="P53" s="49">
        <v>234.6</v>
      </c>
      <c r="Q53" s="51">
        <v>613.16999999999996</v>
      </c>
      <c r="R53" s="52">
        <f t="shared" ref="R53:R56" si="207">Q53-J53-K53-N53-O53</f>
        <v>234.59999999999997</v>
      </c>
      <c r="S53" s="116"/>
      <c r="T53" s="48">
        <v>880.41</v>
      </c>
      <c r="U53" s="49">
        <v>212.5</v>
      </c>
      <c r="V53" s="49">
        <v>40.4</v>
      </c>
      <c r="W53" s="49">
        <v>0</v>
      </c>
      <c r="X53" s="49">
        <v>284.8</v>
      </c>
      <c r="Y53" s="49">
        <v>21.9</v>
      </c>
      <c r="Z53" s="49">
        <v>333.35</v>
      </c>
      <c r="AA53" s="51">
        <v>1804.96</v>
      </c>
      <c r="AB53" s="53">
        <f t="shared" ref="AB53:AB58" si="208">AA53-T53-U53-X53-Y53</f>
        <v>405.35000000000008</v>
      </c>
      <c r="AC53" s="54"/>
      <c r="AD53" s="55">
        <f t="shared" si="186"/>
        <v>1203.28</v>
      </c>
      <c r="AE53" s="50">
        <f t="shared" si="187"/>
        <v>212.5</v>
      </c>
      <c r="AF53" s="50">
        <f t="shared" si="188"/>
        <v>307.7</v>
      </c>
      <c r="AG53" s="50"/>
      <c r="AH53" s="56">
        <f t="shared" si="189"/>
        <v>639.95000000000005</v>
      </c>
      <c r="AI53" s="57">
        <f t="shared" si="190"/>
        <v>613.16999999999996</v>
      </c>
      <c r="AJ53" s="58">
        <f t="shared" si="191"/>
        <v>1804.96</v>
      </c>
      <c r="AK53" s="59">
        <f t="shared" si="192"/>
        <v>1203.28</v>
      </c>
      <c r="AL53" s="60">
        <f t="shared" si="193"/>
        <v>252.9</v>
      </c>
      <c r="AM53" s="61">
        <f t="shared" si="194"/>
        <v>307.7</v>
      </c>
      <c r="AN53" s="61"/>
      <c r="AO53" s="62">
        <f t="shared" si="195"/>
        <v>639.95000000000005</v>
      </c>
      <c r="AP53" s="63">
        <f t="shared" si="196"/>
        <v>2418.13</v>
      </c>
      <c r="AQ53" s="64">
        <f t="shared" si="197"/>
        <v>567.95000000000005</v>
      </c>
      <c r="AR53" s="77"/>
      <c r="AS53" s="78">
        <f>AP52+AP53</f>
        <v>4852.5300000000007</v>
      </c>
      <c r="AV53" s="79" t="s">
        <v>35</v>
      </c>
      <c r="AW53" s="80">
        <f t="shared" si="198"/>
        <v>46063</v>
      </c>
      <c r="AX53" s="68">
        <f t="shared" ref="AX53:AX58" si="209">J53+K53+N53</f>
        <v>345.77</v>
      </c>
      <c r="AY53" s="68">
        <f t="shared" si="199"/>
        <v>234.59999999999997</v>
      </c>
      <c r="AZ53" s="69">
        <f t="shared" ref="AZ53:AZ58" si="210">T53+U53+X53</f>
        <v>1377.7099999999998</v>
      </c>
      <c r="BA53" s="69">
        <f t="shared" si="200"/>
        <v>405.35000000000008</v>
      </c>
      <c r="BB53" s="81">
        <f t="shared" si="201"/>
        <v>580.36999999999989</v>
      </c>
      <c r="BC53" s="82">
        <f t="shared" si="202"/>
        <v>1783.06</v>
      </c>
      <c r="BD53" s="81">
        <f t="shared" si="203"/>
        <v>1723.4799999999998</v>
      </c>
      <c r="BE53" s="82">
        <f t="shared" si="204"/>
        <v>639.95000000000005</v>
      </c>
      <c r="BF53" s="83">
        <f t="shared" si="205"/>
        <v>2363.4299999999998</v>
      </c>
      <c r="BG53" s="84">
        <f t="shared" si="206"/>
        <v>567.95000000000005</v>
      </c>
      <c r="BH53" s="85">
        <f>BF52+BF53</f>
        <v>4797.83</v>
      </c>
      <c r="BP53" s="12"/>
    </row>
    <row r="54" spans="1:70" s="110" customFormat="1" ht="14.25" customHeight="1" thickBot="1" x14ac:dyDescent="0.25">
      <c r="A54" s="494" t="s">
        <v>36</v>
      </c>
      <c r="B54" s="492">
        <v>46064</v>
      </c>
      <c r="C54" s="74">
        <v>5</v>
      </c>
      <c r="D54" s="74">
        <v>10</v>
      </c>
      <c r="E54" s="515">
        <v>0</v>
      </c>
      <c r="F54" s="510">
        <v>0</v>
      </c>
      <c r="G54" s="509">
        <v>2</v>
      </c>
      <c r="H54" s="509">
        <v>3</v>
      </c>
      <c r="I54" s="76">
        <f t="shared" si="185"/>
        <v>5</v>
      </c>
      <c r="J54" s="48">
        <v>598.65</v>
      </c>
      <c r="K54" s="49">
        <v>0</v>
      </c>
      <c r="L54" s="49">
        <v>28.22</v>
      </c>
      <c r="M54" s="49">
        <v>0</v>
      </c>
      <c r="N54" s="49">
        <v>17.899999999999999</v>
      </c>
      <c r="O54" s="49"/>
      <c r="P54" s="49">
        <v>236.95</v>
      </c>
      <c r="Q54" s="51">
        <v>853.5</v>
      </c>
      <c r="R54" s="52">
        <f t="shared" si="207"/>
        <v>236.95000000000002</v>
      </c>
      <c r="S54" s="116"/>
      <c r="T54" s="48">
        <v>2817.35</v>
      </c>
      <c r="U54" s="49">
        <v>382.07</v>
      </c>
      <c r="V54" s="49">
        <v>0</v>
      </c>
      <c r="W54" s="49">
        <v>0</v>
      </c>
      <c r="X54" s="49">
        <v>639.9</v>
      </c>
      <c r="Y54" s="49"/>
      <c r="Z54" s="49">
        <v>268.45</v>
      </c>
      <c r="AA54" s="51">
        <v>4194.2700000000004</v>
      </c>
      <c r="AB54" s="53">
        <f t="shared" si="208"/>
        <v>354.95000000000061</v>
      </c>
      <c r="AC54" s="54"/>
      <c r="AD54" s="55">
        <f t="shared" si="186"/>
        <v>3416</v>
      </c>
      <c r="AE54" s="50">
        <f t="shared" si="187"/>
        <v>382.07</v>
      </c>
      <c r="AF54" s="50">
        <f t="shared" si="188"/>
        <v>657.8</v>
      </c>
      <c r="AG54" s="50"/>
      <c r="AH54" s="56">
        <f t="shared" si="189"/>
        <v>591.90000000000066</v>
      </c>
      <c r="AI54" s="57">
        <f t="shared" si="190"/>
        <v>853.5</v>
      </c>
      <c r="AJ54" s="58">
        <f t="shared" si="191"/>
        <v>4194.2700000000004</v>
      </c>
      <c r="AK54" s="59">
        <f t="shared" si="192"/>
        <v>3416</v>
      </c>
      <c r="AL54" s="60">
        <f t="shared" si="193"/>
        <v>410.28999999999996</v>
      </c>
      <c r="AM54" s="61">
        <f t="shared" si="194"/>
        <v>657.8</v>
      </c>
      <c r="AN54" s="61"/>
      <c r="AO54" s="62">
        <f t="shared" si="195"/>
        <v>591.90000000000066</v>
      </c>
      <c r="AP54" s="63">
        <f t="shared" si="196"/>
        <v>5047.7700000000004</v>
      </c>
      <c r="AQ54" s="64">
        <f t="shared" si="197"/>
        <v>505.4</v>
      </c>
      <c r="AR54" s="77"/>
      <c r="AS54" s="78">
        <f>AP53+AP54</f>
        <v>7465.9000000000005</v>
      </c>
      <c r="AV54" s="111" t="s">
        <v>36</v>
      </c>
      <c r="AW54" s="112">
        <f t="shared" si="198"/>
        <v>46064</v>
      </c>
      <c r="AX54" s="69">
        <f t="shared" si="209"/>
        <v>616.54999999999995</v>
      </c>
      <c r="AY54" s="69">
        <f t="shared" si="199"/>
        <v>236.95000000000002</v>
      </c>
      <c r="AZ54" s="69">
        <f t="shared" si="210"/>
        <v>3839.32</v>
      </c>
      <c r="BA54" s="69">
        <f t="shared" si="200"/>
        <v>354.95000000000061</v>
      </c>
      <c r="BB54" s="81">
        <f t="shared" si="201"/>
        <v>853.5</v>
      </c>
      <c r="BC54" s="82">
        <f t="shared" si="202"/>
        <v>4194.2700000000004</v>
      </c>
      <c r="BD54" s="81">
        <f t="shared" si="203"/>
        <v>4455.87</v>
      </c>
      <c r="BE54" s="82">
        <f t="shared" si="204"/>
        <v>591.90000000000066</v>
      </c>
      <c r="BF54" s="83">
        <f t="shared" si="205"/>
        <v>5047.7700000000004</v>
      </c>
      <c r="BG54" s="84">
        <f t="shared" si="206"/>
        <v>505.4</v>
      </c>
      <c r="BH54" s="109">
        <f>BH53+BF54</f>
        <v>9845.6</v>
      </c>
      <c r="BP54" s="113"/>
    </row>
    <row r="55" spans="1:70" s="8" customFormat="1" ht="14.25" customHeight="1" thickBot="1" x14ac:dyDescent="0.25">
      <c r="A55" s="493" t="s">
        <v>37</v>
      </c>
      <c r="B55" s="492">
        <v>46065</v>
      </c>
      <c r="C55" s="74">
        <v>4</v>
      </c>
      <c r="D55" s="74">
        <v>10</v>
      </c>
      <c r="E55" s="515">
        <v>0</v>
      </c>
      <c r="F55" s="510">
        <v>0</v>
      </c>
      <c r="G55" s="509">
        <v>1</v>
      </c>
      <c r="H55" s="509">
        <v>0</v>
      </c>
      <c r="I55" s="76">
        <f t="shared" si="185"/>
        <v>1</v>
      </c>
      <c r="J55" s="48">
        <v>376.87</v>
      </c>
      <c r="K55" s="49">
        <v>0</v>
      </c>
      <c r="L55" s="49">
        <v>0</v>
      </c>
      <c r="M55" s="49">
        <v>0</v>
      </c>
      <c r="N55" s="49">
        <v>168.3</v>
      </c>
      <c r="O55" s="49"/>
      <c r="P55" s="49">
        <v>128.6</v>
      </c>
      <c r="Q55" s="51">
        <v>673.77</v>
      </c>
      <c r="R55" s="521">
        <f t="shared" si="207"/>
        <v>128.59999999999997</v>
      </c>
      <c r="S55" s="116"/>
      <c r="T55" s="48">
        <v>2250.7600000000002</v>
      </c>
      <c r="U55" s="49">
        <v>151.61000000000001</v>
      </c>
      <c r="V55" s="49">
        <v>212.14</v>
      </c>
      <c r="W55" s="49">
        <v>0</v>
      </c>
      <c r="X55" s="49">
        <v>1007.1</v>
      </c>
      <c r="Y55" s="49"/>
      <c r="Z55" s="49">
        <v>761.85</v>
      </c>
      <c r="AA55" s="51">
        <v>4241.32</v>
      </c>
      <c r="AB55" s="53">
        <f t="shared" si="208"/>
        <v>831.84999999999934</v>
      </c>
      <c r="AC55" s="54"/>
      <c r="AD55" s="55">
        <f t="shared" si="186"/>
        <v>2627.63</v>
      </c>
      <c r="AE55" s="50">
        <f t="shared" si="187"/>
        <v>151.61000000000001</v>
      </c>
      <c r="AF55" s="50">
        <f t="shared" si="188"/>
        <v>1175.4000000000001</v>
      </c>
      <c r="AG55" s="50"/>
      <c r="AH55" s="56">
        <f t="shared" si="189"/>
        <v>960.44999999999936</v>
      </c>
      <c r="AI55" s="57">
        <f t="shared" si="190"/>
        <v>673.77</v>
      </c>
      <c r="AJ55" s="58">
        <f t="shared" si="191"/>
        <v>4241.32</v>
      </c>
      <c r="AK55" s="59">
        <f t="shared" si="192"/>
        <v>2627.63</v>
      </c>
      <c r="AL55" s="60">
        <f t="shared" si="193"/>
        <v>363.75</v>
      </c>
      <c r="AM55" s="61">
        <f t="shared" si="194"/>
        <v>1175.4000000000001</v>
      </c>
      <c r="AN55" s="61"/>
      <c r="AO55" s="62">
        <f t="shared" si="195"/>
        <v>960.44999999999936</v>
      </c>
      <c r="AP55" s="63">
        <f t="shared" si="196"/>
        <v>4915.09</v>
      </c>
      <c r="AQ55" s="64">
        <f t="shared" si="197"/>
        <v>890.45</v>
      </c>
      <c r="AR55" s="86">
        <v>0.28299999999999997</v>
      </c>
      <c r="AS55" s="78">
        <f>AS54+AP55</f>
        <v>12380.990000000002</v>
      </c>
      <c r="AV55" s="79" t="s">
        <v>37</v>
      </c>
      <c r="AW55" s="80">
        <f t="shared" si="198"/>
        <v>46065</v>
      </c>
      <c r="AX55" s="68">
        <f t="shared" si="209"/>
        <v>545.17000000000007</v>
      </c>
      <c r="AY55" s="68">
        <f t="shared" si="199"/>
        <v>128.59999999999997</v>
      </c>
      <c r="AZ55" s="69">
        <f t="shared" si="210"/>
        <v>3409.4700000000003</v>
      </c>
      <c r="BA55" s="69">
        <f t="shared" si="200"/>
        <v>831.84999999999934</v>
      </c>
      <c r="BB55" s="81">
        <f t="shared" si="201"/>
        <v>673.77</v>
      </c>
      <c r="BC55" s="82">
        <f t="shared" si="202"/>
        <v>4241.32</v>
      </c>
      <c r="BD55" s="81">
        <f t="shared" si="203"/>
        <v>3954.6400000000003</v>
      </c>
      <c r="BE55" s="82">
        <f t="shared" si="204"/>
        <v>960.44999999999936</v>
      </c>
      <c r="BF55" s="83">
        <f t="shared" si="205"/>
        <v>4915.09</v>
      </c>
      <c r="BG55" s="84">
        <f t="shared" si="206"/>
        <v>890.45</v>
      </c>
      <c r="BH55" s="85">
        <f>BH54+BF55</f>
        <v>14760.69</v>
      </c>
      <c r="BP55" s="12"/>
    </row>
    <row r="56" spans="1:70" s="8" customFormat="1" ht="14.25" customHeight="1" thickBot="1" x14ac:dyDescent="0.25">
      <c r="A56" s="493" t="s">
        <v>38</v>
      </c>
      <c r="B56" s="492">
        <v>46066</v>
      </c>
      <c r="C56" s="74">
        <v>11</v>
      </c>
      <c r="D56" s="74">
        <v>7</v>
      </c>
      <c r="E56" s="515">
        <v>1</v>
      </c>
      <c r="F56" s="510">
        <v>0</v>
      </c>
      <c r="G56" s="509">
        <v>0</v>
      </c>
      <c r="H56" s="509">
        <v>5</v>
      </c>
      <c r="I56" s="76">
        <f t="shared" si="185"/>
        <v>5</v>
      </c>
      <c r="J56" s="48">
        <v>632.04999999999995</v>
      </c>
      <c r="K56" s="49">
        <v>15.2</v>
      </c>
      <c r="L56" s="49">
        <v>0</v>
      </c>
      <c r="M56" s="49">
        <v>0</v>
      </c>
      <c r="N56" s="49">
        <v>52.7</v>
      </c>
      <c r="O56" s="49"/>
      <c r="P56" s="49">
        <v>415.35</v>
      </c>
      <c r="Q56" s="51">
        <v>1115.3</v>
      </c>
      <c r="R56" s="52">
        <f t="shared" si="207"/>
        <v>415.35</v>
      </c>
      <c r="S56" s="116"/>
      <c r="T56" s="48">
        <v>2832.17</v>
      </c>
      <c r="U56" s="49">
        <v>673.38</v>
      </c>
      <c r="V56" s="49">
        <v>89.32</v>
      </c>
      <c r="W56" s="49">
        <v>86.45</v>
      </c>
      <c r="X56" s="49">
        <v>417.7</v>
      </c>
      <c r="Y56" s="49">
        <v>53.3</v>
      </c>
      <c r="Z56" s="49">
        <v>947.4</v>
      </c>
      <c r="AA56" s="51">
        <v>5011.45</v>
      </c>
      <c r="AB56" s="53">
        <f t="shared" si="208"/>
        <v>1034.8999999999996</v>
      </c>
      <c r="AC56" s="54"/>
      <c r="AD56" s="55">
        <f t="shared" si="186"/>
        <v>3464.2200000000003</v>
      </c>
      <c r="AE56" s="50">
        <f t="shared" si="187"/>
        <v>688.58</v>
      </c>
      <c r="AF56" s="50">
        <f t="shared" si="188"/>
        <v>470.4</v>
      </c>
      <c r="AG56" s="50"/>
      <c r="AH56" s="56">
        <f t="shared" si="189"/>
        <v>1450.2499999999995</v>
      </c>
      <c r="AI56" s="57">
        <f t="shared" si="190"/>
        <v>1115.3</v>
      </c>
      <c r="AJ56" s="58">
        <f t="shared" si="191"/>
        <v>5011.45</v>
      </c>
      <c r="AK56" s="59">
        <f t="shared" si="192"/>
        <v>3464.2200000000003</v>
      </c>
      <c r="AL56" s="60">
        <f t="shared" si="193"/>
        <v>864.35000000000014</v>
      </c>
      <c r="AM56" s="61">
        <f t="shared" si="194"/>
        <v>470.4</v>
      </c>
      <c r="AN56" s="61"/>
      <c r="AO56" s="62">
        <f t="shared" si="195"/>
        <v>1450.2499999999995</v>
      </c>
      <c r="AP56" s="63">
        <f t="shared" si="196"/>
        <v>6126.75</v>
      </c>
      <c r="AQ56" s="64">
        <f t="shared" si="197"/>
        <v>1362.75</v>
      </c>
      <c r="AR56" s="87" t="s">
        <v>39</v>
      </c>
      <c r="AS56" s="78">
        <f>AS55+AP56</f>
        <v>18507.740000000002</v>
      </c>
      <c r="AV56" s="79" t="s">
        <v>38</v>
      </c>
      <c r="AW56" s="80">
        <f t="shared" si="198"/>
        <v>46066</v>
      </c>
      <c r="AX56" s="68">
        <f t="shared" si="209"/>
        <v>699.95</v>
      </c>
      <c r="AY56" s="68">
        <f t="shared" si="199"/>
        <v>415.35</v>
      </c>
      <c r="AZ56" s="69">
        <f t="shared" si="210"/>
        <v>3923.25</v>
      </c>
      <c r="BA56" s="69">
        <f t="shared" si="200"/>
        <v>1034.8999999999996</v>
      </c>
      <c r="BB56" s="81">
        <f t="shared" si="201"/>
        <v>1115.3000000000002</v>
      </c>
      <c r="BC56" s="82">
        <f t="shared" si="202"/>
        <v>4958.1499999999996</v>
      </c>
      <c r="BD56" s="81">
        <f t="shared" si="203"/>
        <v>4623.2</v>
      </c>
      <c r="BE56" s="82">
        <f t="shared" si="204"/>
        <v>1450.2499999999995</v>
      </c>
      <c r="BF56" s="83">
        <f t="shared" si="205"/>
        <v>6073.4499999999989</v>
      </c>
      <c r="BG56" s="84">
        <f t="shared" si="206"/>
        <v>1362.75</v>
      </c>
      <c r="BH56" s="85">
        <f>BH55+BF56</f>
        <v>20834.14</v>
      </c>
      <c r="BP56" s="12"/>
      <c r="BR56" s="88"/>
    </row>
    <row r="57" spans="1:70" s="8" customFormat="1" ht="14.25" customHeight="1" thickBot="1" x14ac:dyDescent="0.25">
      <c r="A57" s="493" t="s">
        <v>40</v>
      </c>
      <c r="B57" s="492">
        <v>46067</v>
      </c>
      <c r="C57" s="74">
        <v>12</v>
      </c>
      <c r="D57" s="74">
        <v>15</v>
      </c>
      <c r="E57" s="515">
        <v>0</v>
      </c>
      <c r="F57" s="510">
        <v>0</v>
      </c>
      <c r="G57" s="509">
        <v>0</v>
      </c>
      <c r="H57" s="509">
        <v>9</v>
      </c>
      <c r="I57" s="76">
        <f t="shared" si="185"/>
        <v>9</v>
      </c>
      <c r="J57" s="48">
        <v>408.74</v>
      </c>
      <c r="K57" s="49">
        <v>65.48</v>
      </c>
      <c r="L57" s="49">
        <v>0</v>
      </c>
      <c r="M57" s="49">
        <v>0</v>
      </c>
      <c r="N57" s="49">
        <v>189.2</v>
      </c>
      <c r="O57" s="49"/>
      <c r="P57" s="49">
        <v>475.05</v>
      </c>
      <c r="Q57" s="51">
        <v>1138.47</v>
      </c>
      <c r="R57" s="52">
        <f>Q57-J57-K57-N57-O57</f>
        <v>475.05</v>
      </c>
      <c r="S57" s="116"/>
      <c r="T57" s="48">
        <v>3647.03</v>
      </c>
      <c r="U57" s="49">
        <v>489.05</v>
      </c>
      <c r="V57" s="49">
        <v>213.96</v>
      </c>
      <c r="W57" s="49">
        <v>236.35</v>
      </c>
      <c r="X57" s="49">
        <v>876.1</v>
      </c>
      <c r="Y57" s="49"/>
      <c r="Z57" s="49">
        <v>1473.45</v>
      </c>
      <c r="AA57" s="51">
        <v>6590.13</v>
      </c>
      <c r="AB57" s="53">
        <f t="shared" si="208"/>
        <v>1577.9499999999998</v>
      </c>
      <c r="AC57" s="54"/>
      <c r="AD57" s="55">
        <f t="shared" si="186"/>
        <v>4055.7700000000004</v>
      </c>
      <c r="AE57" s="50">
        <f t="shared" si="187"/>
        <v>554.53</v>
      </c>
      <c r="AF57" s="50">
        <f t="shared" si="188"/>
        <v>1065.3</v>
      </c>
      <c r="AG57" s="50"/>
      <c r="AH57" s="56">
        <f t="shared" si="189"/>
        <v>2053</v>
      </c>
      <c r="AI57" s="57">
        <f t="shared" si="190"/>
        <v>1138.47</v>
      </c>
      <c r="AJ57" s="58">
        <f t="shared" si="191"/>
        <v>6590.13</v>
      </c>
      <c r="AK57" s="59">
        <f t="shared" si="192"/>
        <v>4055.7700000000004</v>
      </c>
      <c r="AL57" s="60">
        <f t="shared" si="193"/>
        <v>1004.84</v>
      </c>
      <c r="AM57" s="61">
        <f t="shared" si="194"/>
        <v>1065.3</v>
      </c>
      <c r="AN57" s="61"/>
      <c r="AO57" s="62">
        <f t="shared" si="195"/>
        <v>2053</v>
      </c>
      <c r="AP57" s="63">
        <f t="shared" si="196"/>
        <v>7728.6</v>
      </c>
      <c r="AQ57" s="64">
        <f t="shared" si="197"/>
        <v>1948.5</v>
      </c>
      <c r="AR57" s="89"/>
      <c r="AS57" s="78">
        <f>AS56+AP57</f>
        <v>26236.340000000004</v>
      </c>
      <c r="AV57" s="79" t="s">
        <v>40</v>
      </c>
      <c r="AW57" s="80">
        <f t="shared" si="198"/>
        <v>46067</v>
      </c>
      <c r="AX57" s="68">
        <f t="shared" si="209"/>
        <v>663.42000000000007</v>
      </c>
      <c r="AY57" s="68">
        <f t="shared" si="199"/>
        <v>475.05</v>
      </c>
      <c r="AZ57" s="69">
        <f t="shared" si="210"/>
        <v>5012.18</v>
      </c>
      <c r="BA57" s="69">
        <f t="shared" si="200"/>
        <v>1577.9499999999998</v>
      </c>
      <c r="BB57" s="81">
        <f t="shared" si="201"/>
        <v>1138.47</v>
      </c>
      <c r="BC57" s="82">
        <f t="shared" si="202"/>
        <v>6590.13</v>
      </c>
      <c r="BD57" s="81">
        <f t="shared" si="203"/>
        <v>5675.6</v>
      </c>
      <c r="BE57" s="82">
        <f t="shared" si="204"/>
        <v>2053</v>
      </c>
      <c r="BF57" s="83">
        <f t="shared" si="205"/>
        <v>7728.6</v>
      </c>
      <c r="BG57" s="84">
        <f t="shared" si="206"/>
        <v>1948.5</v>
      </c>
      <c r="BH57" s="85">
        <f>BH56+BF57</f>
        <v>28562.739999999998</v>
      </c>
      <c r="BP57" s="12"/>
    </row>
    <row r="58" spans="1:70" s="8" customFormat="1" ht="14.25" customHeight="1" thickBot="1" x14ac:dyDescent="0.25">
      <c r="A58" s="493" t="s">
        <v>41</v>
      </c>
      <c r="B58" s="492">
        <v>46068</v>
      </c>
      <c r="C58" s="516">
        <v>3</v>
      </c>
      <c r="D58" s="516">
        <v>10</v>
      </c>
      <c r="E58" s="517">
        <v>0</v>
      </c>
      <c r="F58" s="510">
        <v>0</v>
      </c>
      <c r="G58" s="509">
        <v>0</v>
      </c>
      <c r="H58" s="509">
        <v>0</v>
      </c>
      <c r="I58" s="76">
        <f t="shared" si="185"/>
        <v>0</v>
      </c>
      <c r="J58" s="48">
        <v>1079.96</v>
      </c>
      <c r="K58" s="49">
        <v>0</v>
      </c>
      <c r="L58" s="49">
        <v>0</v>
      </c>
      <c r="M58" s="49">
        <v>0</v>
      </c>
      <c r="N58" s="49">
        <v>21.9</v>
      </c>
      <c r="O58" s="49"/>
      <c r="P58" s="49">
        <v>91.65</v>
      </c>
      <c r="Q58" s="51">
        <v>1193.51</v>
      </c>
      <c r="R58" s="52">
        <f t="shared" ref="R58" si="211">Q58-J58-K58-N58-O58</f>
        <v>91.649999999999949</v>
      </c>
      <c r="S58" s="116"/>
      <c r="T58" s="48">
        <v>2173.0500000000002</v>
      </c>
      <c r="U58" s="49">
        <v>74.05</v>
      </c>
      <c r="V58" s="49">
        <v>63.64</v>
      </c>
      <c r="W58" s="49">
        <v>0</v>
      </c>
      <c r="X58" s="49">
        <v>620.79999999999995</v>
      </c>
      <c r="Y58" s="49"/>
      <c r="Z58" s="49">
        <v>555</v>
      </c>
      <c r="AA58" s="51">
        <v>3492.9</v>
      </c>
      <c r="AB58" s="53">
        <f t="shared" si="208"/>
        <v>625</v>
      </c>
      <c r="AC58" s="54"/>
      <c r="AD58" s="55">
        <f t="shared" si="186"/>
        <v>3253.01</v>
      </c>
      <c r="AE58" s="50">
        <f t="shared" si="187"/>
        <v>74.05</v>
      </c>
      <c r="AF58" s="50">
        <f t="shared" si="188"/>
        <v>642.69999999999993</v>
      </c>
      <c r="AG58" s="50"/>
      <c r="AH58" s="56">
        <f t="shared" si="189"/>
        <v>716.65</v>
      </c>
      <c r="AI58" s="57">
        <f t="shared" si="190"/>
        <v>1193.51</v>
      </c>
      <c r="AJ58" s="58">
        <f t="shared" si="191"/>
        <v>3492.9</v>
      </c>
      <c r="AK58" s="59">
        <f t="shared" si="192"/>
        <v>3253.01</v>
      </c>
      <c r="AL58" s="60">
        <f t="shared" si="193"/>
        <v>137.69</v>
      </c>
      <c r="AM58" s="61">
        <f t="shared" si="194"/>
        <v>642.69999999999993</v>
      </c>
      <c r="AN58" s="61"/>
      <c r="AO58" s="62">
        <f t="shared" si="195"/>
        <v>716.65</v>
      </c>
      <c r="AP58" s="63">
        <f t="shared" si="196"/>
        <v>4686.41</v>
      </c>
      <c r="AQ58" s="64">
        <f t="shared" si="197"/>
        <v>646.65</v>
      </c>
      <c r="AR58" s="90">
        <f>AR57-AM59</f>
        <v>-4643.5</v>
      </c>
      <c r="AS58" s="78">
        <f>AS57+AP58</f>
        <v>30922.750000000004</v>
      </c>
      <c r="AV58" s="79" t="s">
        <v>41</v>
      </c>
      <c r="AW58" s="80">
        <f t="shared" si="198"/>
        <v>46068</v>
      </c>
      <c r="AX58" s="68">
        <f t="shared" si="209"/>
        <v>1101.8600000000001</v>
      </c>
      <c r="AY58" s="68">
        <f t="shared" si="199"/>
        <v>91.649999999999949</v>
      </c>
      <c r="AZ58" s="69">
        <f t="shared" si="210"/>
        <v>2867.9000000000005</v>
      </c>
      <c r="BA58" s="69">
        <f t="shared" si="200"/>
        <v>625</v>
      </c>
      <c r="BB58" s="81">
        <f t="shared" si="201"/>
        <v>1193.51</v>
      </c>
      <c r="BC58" s="82">
        <f t="shared" si="202"/>
        <v>3492.9000000000005</v>
      </c>
      <c r="BD58" s="81">
        <f t="shared" si="203"/>
        <v>3969.7600000000007</v>
      </c>
      <c r="BE58" s="82">
        <f t="shared" si="204"/>
        <v>716.65</v>
      </c>
      <c r="BF58" s="83">
        <f t="shared" si="205"/>
        <v>4686.4100000000008</v>
      </c>
      <c r="BG58" s="84">
        <f t="shared" si="206"/>
        <v>646.65</v>
      </c>
      <c r="BH58" s="85">
        <f>BH57+BF58</f>
        <v>33249.15</v>
      </c>
      <c r="BP58" s="12"/>
    </row>
    <row r="59" spans="1:70" s="105" customFormat="1" ht="14.25" customHeight="1" thickBot="1" x14ac:dyDescent="0.25">
      <c r="A59" s="495" t="s">
        <v>42</v>
      </c>
      <c r="B59" s="496"/>
      <c r="C59" s="511">
        <f>SUM(C52:C58)</f>
        <v>43</v>
      </c>
      <c r="D59" s="512">
        <f>SUM(D52:D58)</f>
        <v>65</v>
      </c>
      <c r="E59" s="513">
        <f>SUM(E52:E58)</f>
        <v>3</v>
      </c>
      <c r="F59" s="523">
        <f>SUM(I52:I58)</f>
        <v>23</v>
      </c>
      <c r="G59" s="524"/>
      <c r="H59" s="524"/>
      <c r="I59" s="387">
        <f>SUM(C59:H59)</f>
        <v>134</v>
      </c>
      <c r="J59" s="94">
        <f t="shared" ref="J59:N59" si="212">SUM(J52:J58)</f>
        <v>3960.9399999999996</v>
      </c>
      <c r="K59" s="95">
        <f t="shared" si="212"/>
        <v>80.680000000000007</v>
      </c>
      <c r="L59" s="95">
        <f t="shared" si="212"/>
        <v>28.22</v>
      </c>
      <c r="M59" s="95">
        <f t="shared" si="212"/>
        <v>0</v>
      </c>
      <c r="N59" s="95">
        <f t="shared" si="212"/>
        <v>493.79999999999995</v>
      </c>
      <c r="O59" s="95"/>
      <c r="P59" s="95">
        <f t="shared" ref="P59:R59" si="213">SUM(P52:P58)</f>
        <v>1756.3500000000001</v>
      </c>
      <c r="Q59" s="96">
        <f t="shared" si="213"/>
        <v>6324.5700000000006</v>
      </c>
      <c r="R59" s="97">
        <f t="shared" si="213"/>
        <v>1756.35</v>
      </c>
      <c r="S59" s="117"/>
      <c r="T59" s="94">
        <f t="shared" ref="T59:X59" si="214">SUM(T52:T58)</f>
        <v>15555.79</v>
      </c>
      <c r="U59" s="95">
        <f t="shared" si="214"/>
        <v>2239.6400000000003</v>
      </c>
      <c r="V59" s="95">
        <f t="shared" si="214"/>
        <v>863.05000000000007</v>
      </c>
      <c r="W59" s="95">
        <f t="shared" si="214"/>
        <v>322.8</v>
      </c>
      <c r="X59" s="95">
        <f t="shared" si="214"/>
        <v>4149.7</v>
      </c>
      <c r="Y59" s="95"/>
      <c r="Z59" s="95">
        <f t="shared" ref="Z59:AA59" si="215">SUM(Z52:Z58)</f>
        <v>4442.75</v>
      </c>
      <c r="AA59" s="96">
        <f t="shared" si="215"/>
        <v>27032.58</v>
      </c>
      <c r="AB59" s="98">
        <f>SUM(AB52:AB58)</f>
        <v>5012.25</v>
      </c>
      <c r="AC59" s="99"/>
      <c r="AD59" s="100">
        <f t="shared" ref="AD59:AF59" si="216">SUM(AD52:AD58)</f>
        <v>19516.730000000003</v>
      </c>
      <c r="AE59" s="95">
        <f t="shared" si="216"/>
        <v>2320.3200000000002</v>
      </c>
      <c r="AF59" s="95">
        <f t="shared" si="216"/>
        <v>4643.5</v>
      </c>
      <c r="AG59" s="95"/>
      <c r="AH59" s="95">
        <f t="shared" ref="AH59:AM59" si="217">SUM(AH52:AH58)</f>
        <v>6768.5999999999985</v>
      </c>
      <c r="AI59" s="95">
        <f t="shared" si="217"/>
        <v>6324.5700000000006</v>
      </c>
      <c r="AJ59" s="95">
        <f t="shared" si="217"/>
        <v>27032.58</v>
      </c>
      <c r="AK59" s="101">
        <f t="shared" si="217"/>
        <v>19516.730000000003</v>
      </c>
      <c r="AL59" s="95">
        <f t="shared" si="217"/>
        <v>3534.3900000000003</v>
      </c>
      <c r="AM59" s="95">
        <f t="shared" si="217"/>
        <v>4643.5</v>
      </c>
      <c r="AN59" s="95"/>
      <c r="AO59" s="95">
        <f t="shared" ref="AO59:AP59" si="218">SUM(AO52:AO58)</f>
        <v>6768.5999999999985</v>
      </c>
      <c r="AP59" s="95">
        <f t="shared" si="218"/>
        <v>33357.149999999994</v>
      </c>
      <c r="AQ59" s="102">
        <f>SUM(AQ52:AQ58)</f>
        <v>6199.0999999999995</v>
      </c>
      <c r="AR59" s="103">
        <f>AR58</f>
        <v>-4643.5</v>
      </c>
      <c r="AS59" s="104">
        <f>AP59+AR59</f>
        <v>28713.649999999994</v>
      </c>
      <c r="AV59" s="525" t="s">
        <v>42</v>
      </c>
      <c r="AW59" s="526"/>
      <c r="AX59" s="95">
        <f t="shared" ref="AX59:BD59" si="219">SUM(AX52:AX58)</f>
        <v>4535.42</v>
      </c>
      <c r="AY59" s="95">
        <f t="shared" si="219"/>
        <v>1756.35</v>
      </c>
      <c r="AZ59" s="95">
        <f t="shared" si="219"/>
        <v>21945.13</v>
      </c>
      <c r="BA59" s="95">
        <f t="shared" si="219"/>
        <v>5012.25</v>
      </c>
      <c r="BB59" s="95">
        <f t="shared" si="219"/>
        <v>6291.77</v>
      </c>
      <c r="BC59" s="95">
        <f t="shared" si="219"/>
        <v>26957.38</v>
      </c>
      <c r="BD59" s="95">
        <f t="shared" si="219"/>
        <v>26480.550000000003</v>
      </c>
      <c r="BE59" s="95">
        <f>SUM(BE52:BE58)</f>
        <v>6768.5999999999985</v>
      </c>
      <c r="BF59" s="95">
        <f t="shared" ref="BF59:BG59" si="220">SUM(BF52:BF58)</f>
        <v>33249.15</v>
      </c>
      <c r="BG59" s="95">
        <f t="shared" si="220"/>
        <v>6199.0999999999995</v>
      </c>
      <c r="BP59" s="106"/>
    </row>
    <row r="60" spans="1:70" s="8" customFormat="1" ht="14.25" customHeight="1" thickBot="1" x14ac:dyDescent="0.25">
      <c r="A60" s="491" t="s">
        <v>34</v>
      </c>
      <c r="B60" s="492">
        <v>46069</v>
      </c>
      <c r="C60" s="488">
        <v>6</v>
      </c>
      <c r="D60" s="45">
        <v>10</v>
      </c>
      <c r="E60" s="45">
        <v>0</v>
      </c>
      <c r="F60" s="510">
        <v>0</v>
      </c>
      <c r="G60" s="509">
        <v>0</v>
      </c>
      <c r="H60" s="46">
        <v>4</v>
      </c>
      <c r="I60" s="47">
        <f t="shared" ref="I60:I66" si="221">SUM(F60:H60)</f>
        <v>4</v>
      </c>
      <c r="J60" s="48">
        <v>487.9</v>
      </c>
      <c r="K60" s="49">
        <v>0</v>
      </c>
      <c r="L60" s="49">
        <v>0</v>
      </c>
      <c r="M60" s="49">
        <v>42.8</v>
      </c>
      <c r="N60" s="49">
        <v>67.2</v>
      </c>
      <c r="O60" s="49"/>
      <c r="P60" s="49">
        <v>78.3</v>
      </c>
      <c r="Q60" s="51">
        <v>699.2</v>
      </c>
      <c r="R60" s="52">
        <f>Q60-J60-K60-N60-O60</f>
        <v>144.10000000000008</v>
      </c>
      <c r="S60" s="116"/>
      <c r="T60" s="48">
        <v>1885.67</v>
      </c>
      <c r="U60" s="49">
        <v>194.34</v>
      </c>
      <c r="V60" s="49">
        <v>93.89</v>
      </c>
      <c r="W60" s="49">
        <v>0</v>
      </c>
      <c r="X60" s="49">
        <v>429.6</v>
      </c>
      <c r="Y60" s="49"/>
      <c r="Z60" s="49">
        <v>64.7</v>
      </c>
      <c r="AA60" s="51">
        <v>2654.31</v>
      </c>
      <c r="AB60" s="53">
        <f>AA60-T60-U60-X60-Y60</f>
        <v>144.69999999999982</v>
      </c>
      <c r="AC60" s="54"/>
      <c r="AD60" s="55">
        <f t="shared" ref="AD60:AD66" si="222">T60+J60</f>
        <v>2373.5700000000002</v>
      </c>
      <c r="AE60" s="50">
        <f t="shared" ref="AE60:AE66" si="223">K60+U60</f>
        <v>194.34</v>
      </c>
      <c r="AF60" s="50">
        <f t="shared" ref="AF60:AF66" si="224">N60+X60</f>
        <v>496.8</v>
      </c>
      <c r="AG60" s="50"/>
      <c r="AH60" s="56">
        <f t="shared" ref="AH60:AH66" si="225">R60+AB60</f>
        <v>288.7999999999999</v>
      </c>
      <c r="AI60" s="57">
        <f t="shared" ref="AI60:AI66" si="226">Q60</f>
        <v>699.2</v>
      </c>
      <c r="AJ60" s="58">
        <f t="shared" ref="AJ60:AJ66" si="227">AA60</f>
        <v>2654.31</v>
      </c>
      <c r="AK60" s="59">
        <f t="shared" ref="AK60:AK66" si="228">AD60</f>
        <v>2373.5700000000002</v>
      </c>
      <c r="AL60" s="60">
        <f t="shared" ref="AL60:AL66" si="229">K60+L60+M60+U60+V60+W60</f>
        <v>331.03</v>
      </c>
      <c r="AM60" s="61">
        <f t="shared" ref="AM60:AM66" si="230">N60+X60</f>
        <v>496.8</v>
      </c>
      <c r="AN60" s="61"/>
      <c r="AO60" s="62">
        <f t="shared" ref="AO60:AO66" si="231">R60+AB60</f>
        <v>288.7999999999999</v>
      </c>
      <c r="AP60" s="63">
        <f t="shared" ref="AP60:AP66" si="232">AI60+AJ60</f>
        <v>3353.51</v>
      </c>
      <c r="AQ60" s="64">
        <f t="shared" ref="AQ60:AQ66" si="233">P60+Z60</f>
        <v>143</v>
      </c>
      <c r="AR60" s="65"/>
      <c r="AS60" s="33"/>
      <c r="AV60" s="66" t="s">
        <v>34</v>
      </c>
      <c r="AW60" s="67">
        <f t="shared" ref="AW60:AW66" si="234">B60</f>
        <v>46069</v>
      </c>
      <c r="AX60" s="68">
        <f>J60+K60+N60</f>
        <v>555.1</v>
      </c>
      <c r="AY60" s="68">
        <f t="shared" ref="AY60:AY66" si="235">R60</f>
        <v>144.10000000000008</v>
      </c>
      <c r="AZ60" s="69">
        <f>T60+U60+X60</f>
        <v>2509.61</v>
      </c>
      <c r="BA60" s="69">
        <f t="shared" ref="BA60:BA66" si="236">AB60</f>
        <v>144.69999999999982</v>
      </c>
      <c r="BB60" s="70">
        <f t="shared" ref="BB60:BB66" si="237">AX60+AY60</f>
        <v>699.2</v>
      </c>
      <c r="BC60" s="71">
        <f t="shared" ref="BC60:BC66" si="238">AZ60+BA60</f>
        <v>2654.31</v>
      </c>
      <c r="BD60" s="70">
        <f t="shared" ref="BD60:BD66" si="239">AX60+AZ60</f>
        <v>3064.71</v>
      </c>
      <c r="BE60" s="71">
        <f t="shared" ref="BE60:BE66" si="240">AY60+BA60</f>
        <v>288.7999999999999</v>
      </c>
      <c r="BF60" s="72">
        <f t="shared" ref="BF60:BF66" si="241">BD60+BE60</f>
        <v>3353.5099999999998</v>
      </c>
      <c r="BG60" s="73">
        <f t="shared" ref="BG60:BG66" si="242">AQ60</f>
        <v>143</v>
      </c>
      <c r="BP60" s="12"/>
    </row>
    <row r="61" spans="1:70" s="8" customFormat="1" ht="14.25" customHeight="1" thickBot="1" x14ac:dyDescent="0.25">
      <c r="A61" s="493" t="s">
        <v>35</v>
      </c>
      <c r="B61" s="492">
        <v>46070</v>
      </c>
      <c r="C61" s="489">
        <v>4</v>
      </c>
      <c r="D61" s="74">
        <v>6</v>
      </c>
      <c r="E61" s="74">
        <v>0</v>
      </c>
      <c r="F61" s="510">
        <v>0</v>
      </c>
      <c r="G61" s="509">
        <v>2</v>
      </c>
      <c r="H61" s="75">
        <v>2</v>
      </c>
      <c r="I61" s="76">
        <f t="shared" si="221"/>
        <v>4</v>
      </c>
      <c r="J61" s="48">
        <v>504.93</v>
      </c>
      <c r="K61" s="49">
        <v>0</v>
      </c>
      <c r="L61" s="49">
        <v>0</v>
      </c>
      <c r="M61" s="49">
        <v>0</v>
      </c>
      <c r="N61" s="49">
        <v>45.8</v>
      </c>
      <c r="O61" s="49"/>
      <c r="P61" s="49">
        <v>511</v>
      </c>
      <c r="Q61" s="51">
        <v>1061.73</v>
      </c>
      <c r="R61" s="52">
        <f t="shared" ref="R61:R64" si="243">Q61-J61-K61-N61-O61</f>
        <v>510.99999999999994</v>
      </c>
      <c r="S61" s="116"/>
      <c r="T61" s="48">
        <v>1549.81</v>
      </c>
      <c r="U61" s="49">
        <v>294.8</v>
      </c>
      <c r="V61" s="49">
        <v>73.28</v>
      </c>
      <c r="W61" s="49">
        <v>0</v>
      </c>
      <c r="X61" s="49">
        <v>257.3</v>
      </c>
      <c r="Y61" s="49"/>
      <c r="Z61" s="49">
        <v>390.1</v>
      </c>
      <c r="AA61" s="51">
        <v>2575.0100000000002</v>
      </c>
      <c r="AB61" s="53">
        <f t="shared" ref="AB61:AB66" si="244">AA61-T61-U61-X61-Y61</f>
        <v>473.10000000000031</v>
      </c>
      <c r="AC61" s="54"/>
      <c r="AD61" s="55">
        <f t="shared" si="222"/>
        <v>2054.7399999999998</v>
      </c>
      <c r="AE61" s="50">
        <f t="shared" si="223"/>
        <v>294.8</v>
      </c>
      <c r="AF61" s="50">
        <f t="shared" si="224"/>
        <v>303.10000000000002</v>
      </c>
      <c r="AG61" s="50"/>
      <c r="AH61" s="56">
        <f t="shared" si="225"/>
        <v>984.10000000000025</v>
      </c>
      <c r="AI61" s="57">
        <f t="shared" si="226"/>
        <v>1061.73</v>
      </c>
      <c r="AJ61" s="58">
        <f t="shared" si="227"/>
        <v>2575.0100000000002</v>
      </c>
      <c r="AK61" s="59">
        <f t="shared" si="228"/>
        <v>2054.7399999999998</v>
      </c>
      <c r="AL61" s="60">
        <f t="shared" si="229"/>
        <v>368.08000000000004</v>
      </c>
      <c r="AM61" s="61">
        <f t="shared" si="230"/>
        <v>303.10000000000002</v>
      </c>
      <c r="AN61" s="61"/>
      <c r="AO61" s="62">
        <f t="shared" si="231"/>
        <v>984.10000000000025</v>
      </c>
      <c r="AP61" s="63">
        <f t="shared" si="232"/>
        <v>3636.7400000000002</v>
      </c>
      <c r="AQ61" s="64">
        <f t="shared" si="233"/>
        <v>901.1</v>
      </c>
      <c r="AR61" s="77"/>
      <c r="AS61" s="78">
        <f>AP60+AP61</f>
        <v>6990.25</v>
      </c>
      <c r="AV61" s="79" t="s">
        <v>35</v>
      </c>
      <c r="AW61" s="80">
        <f t="shared" si="234"/>
        <v>46070</v>
      </c>
      <c r="AX61" s="68">
        <f t="shared" ref="AX61:AX66" si="245">J61+K61+N61</f>
        <v>550.73</v>
      </c>
      <c r="AY61" s="68">
        <f t="shared" si="235"/>
        <v>510.99999999999994</v>
      </c>
      <c r="AZ61" s="69">
        <f t="shared" ref="AZ61:AZ66" si="246">T61+U61+X61</f>
        <v>2101.91</v>
      </c>
      <c r="BA61" s="69">
        <f t="shared" si="236"/>
        <v>473.10000000000031</v>
      </c>
      <c r="BB61" s="81">
        <f t="shared" si="237"/>
        <v>1061.73</v>
      </c>
      <c r="BC61" s="82">
        <f t="shared" si="238"/>
        <v>2575.0100000000002</v>
      </c>
      <c r="BD61" s="81">
        <f t="shared" si="239"/>
        <v>2652.64</v>
      </c>
      <c r="BE61" s="82">
        <f t="shared" si="240"/>
        <v>984.10000000000025</v>
      </c>
      <c r="BF61" s="83">
        <f t="shared" si="241"/>
        <v>3636.7400000000002</v>
      </c>
      <c r="BG61" s="84">
        <f t="shared" si="242"/>
        <v>901.1</v>
      </c>
      <c r="BH61" s="85">
        <f>BF60+BF61</f>
        <v>6990.25</v>
      </c>
      <c r="BP61" s="12"/>
    </row>
    <row r="62" spans="1:70" s="110" customFormat="1" ht="14.25" customHeight="1" thickBot="1" x14ac:dyDescent="0.25">
      <c r="A62" s="494" t="s">
        <v>36</v>
      </c>
      <c r="B62" s="492">
        <v>46071</v>
      </c>
      <c r="C62" s="489">
        <v>2</v>
      </c>
      <c r="D62" s="74">
        <v>9</v>
      </c>
      <c r="E62" s="74">
        <v>0</v>
      </c>
      <c r="F62" s="510">
        <v>0</v>
      </c>
      <c r="G62" s="509">
        <v>1</v>
      </c>
      <c r="H62" s="75">
        <v>2</v>
      </c>
      <c r="I62" s="76">
        <f t="shared" si="221"/>
        <v>3</v>
      </c>
      <c r="J62" s="48">
        <v>414.88</v>
      </c>
      <c r="K62" s="49">
        <v>0</v>
      </c>
      <c r="L62" s="49">
        <v>30.7</v>
      </c>
      <c r="M62" s="49">
        <v>0</v>
      </c>
      <c r="N62" s="49">
        <v>49.3</v>
      </c>
      <c r="O62" s="49"/>
      <c r="P62" s="49">
        <v>225.25</v>
      </c>
      <c r="Q62" s="51">
        <v>689.43</v>
      </c>
      <c r="R62" s="52">
        <f t="shared" si="243"/>
        <v>225.24999999999994</v>
      </c>
      <c r="S62" s="116"/>
      <c r="T62" s="48">
        <v>1460.07</v>
      </c>
      <c r="U62" s="49">
        <v>0</v>
      </c>
      <c r="V62" s="49">
        <v>104.65</v>
      </c>
      <c r="W62" s="49">
        <v>0</v>
      </c>
      <c r="X62" s="49">
        <v>603</v>
      </c>
      <c r="Y62" s="49"/>
      <c r="Z62" s="49">
        <v>1295.9000000000001</v>
      </c>
      <c r="AA62" s="51">
        <v>3421.97</v>
      </c>
      <c r="AB62" s="53">
        <f t="shared" si="244"/>
        <v>1358.8999999999999</v>
      </c>
      <c r="AC62" s="54"/>
      <c r="AD62" s="55">
        <f t="shared" si="222"/>
        <v>1874.9499999999998</v>
      </c>
      <c r="AE62" s="50">
        <f t="shared" si="223"/>
        <v>0</v>
      </c>
      <c r="AF62" s="50">
        <f t="shared" si="224"/>
        <v>652.29999999999995</v>
      </c>
      <c r="AG62" s="50"/>
      <c r="AH62" s="56">
        <f t="shared" si="225"/>
        <v>1584.1499999999999</v>
      </c>
      <c r="AI62" s="57">
        <f t="shared" si="226"/>
        <v>689.43</v>
      </c>
      <c r="AJ62" s="58">
        <f t="shared" si="227"/>
        <v>3421.97</v>
      </c>
      <c r="AK62" s="59">
        <f t="shared" si="228"/>
        <v>1874.9499999999998</v>
      </c>
      <c r="AL62" s="60">
        <f t="shared" si="229"/>
        <v>135.35</v>
      </c>
      <c r="AM62" s="61">
        <f t="shared" si="230"/>
        <v>652.29999999999995</v>
      </c>
      <c r="AN62" s="61"/>
      <c r="AO62" s="62">
        <f t="shared" si="231"/>
        <v>1584.1499999999999</v>
      </c>
      <c r="AP62" s="63">
        <f t="shared" si="232"/>
        <v>4111.3999999999996</v>
      </c>
      <c r="AQ62" s="64">
        <f t="shared" si="233"/>
        <v>1521.15</v>
      </c>
      <c r="AR62" s="77"/>
      <c r="AS62" s="78">
        <f>AP61+AP62</f>
        <v>7748.1399999999994</v>
      </c>
      <c r="AV62" s="111" t="s">
        <v>36</v>
      </c>
      <c r="AW62" s="112">
        <f t="shared" si="234"/>
        <v>46071</v>
      </c>
      <c r="AX62" s="69">
        <f t="shared" si="245"/>
        <v>464.18</v>
      </c>
      <c r="AY62" s="69">
        <f t="shared" si="235"/>
        <v>225.24999999999994</v>
      </c>
      <c r="AZ62" s="69">
        <f t="shared" si="246"/>
        <v>2063.0699999999997</v>
      </c>
      <c r="BA62" s="69">
        <f t="shared" si="236"/>
        <v>1358.8999999999999</v>
      </c>
      <c r="BB62" s="81">
        <f t="shared" si="237"/>
        <v>689.43</v>
      </c>
      <c r="BC62" s="82">
        <f t="shared" si="238"/>
        <v>3421.9699999999993</v>
      </c>
      <c r="BD62" s="81">
        <f t="shared" si="239"/>
        <v>2527.2499999999995</v>
      </c>
      <c r="BE62" s="82">
        <f t="shared" si="240"/>
        <v>1584.1499999999999</v>
      </c>
      <c r="BF62" s="83">
        <f t="shared" si="241"/>
        <v>4111.3999999999996</v>
      </c>
      <c r="BG62" s="84">
        <f t="shared" si="242"/>
        <v>1521.15</v>
      </c>
      <c r="BH62" s="109">
        <f>BH61+BF62</f>
        <v>11101.65</v>
      </c>
      <c r="BP62" s="113"/>
    </row>
    <row r="63" spans="1:70" s="8" customFormat="1" ht="14.25" customHeight="1" thickBot="1" x14ac:dyDescent="0.25">
      <c r="A63" s="493" t="s">
        <v>37</v>
      </c>
      <c r="B63" s="492">
        <v>46072</v>
      </c>
      <c r="C63" s="489">
        <v>1</v>
      </c>
      <c r="D63" s="74">
        <v>12</v>
      </c>
      <c r="E63" s="74">
        <v>0</v>
      </c>
      <c r="F63" s="510">
        <v>0</v>
      </c>
      <c r="G63" s="509">
        <v>0</v>
      </c>
      <c r="H63" s="75">
        <v>0</v>
      </c>
      <c r="I63" s="76">
        <f t="shared" si="221"/>
        <v>0</v>
      </c>
      <c r="J63" s="48">
        <v>385.5</v>
      </c>
      <c r="K63" s="49">
        <v>0</v>
      </c>
      <c r="L63" s="49">
        <v>0</v>
      </c>
      <c r="M63" s="49">
        <v>0</v>
      </c>
      <c r="N63" s="49">
        <v>71.7</v>
      </c>
      <c r="O63" s="49"/>
      <c r="P63" s="49">
        <v>384.95</v>
      </c>
      <c r="Q63" s="51">
        <v>841.65</v>
      </c>
      <c r="R63" s="52">
        <f t="shared" si="243"/>
        <v>384.45</v>
      </c>
      <c r="S63" s="116"/>
      <c r="T63" s="48">
        <v>1869.74</v>
      </c>
      <c r="U63" s="49">
        <v>0</v>
      </c>
      <c r="V63" s="49">
        <v>20.2</v>
      </c>
      <c r="W63" s="49">
        <v>0</v>
      </c>
      <c r="X63" s="49">
        <v>600.70000000000005</v>
      </c>
      <c r="Y63" s="49"/>
      <c r="Z63" s="49">
        <v>257.2</v>
      </c>
      <c r="AA63" s="51">
        <v>2792.64</v>
      </c>
      <c r="AB63" s="53">
        <f t="shared" si="244"/>
        <v>322.19999999999982</v>
      </c>
      <c r="AC63" s="54"/>
      <c r="AD63" s="55">
        <f t="shared" si="222"/>
        <v>2255.2399999999998</v>
      </c>
      <c r="AE63" s="50">
        <f t="shared" si="223"/>
        <v>0</v>
      </c>
      <c r="AF63" s="50">
        <f t="shared" si="224"/>
        <v>672.40000000000009</v>
      </c>
      <c r="AG63" s="50"/>
      <c r="AH63" s="56">
        <f t="shared" si="225"/>
        <v>706.64999999999986</v>
      </c>
      <c r="AI63" s="57">
        <f t="shared" si="226"/>
        <v>841.65</v>
      </c>
      <c r="AJ63" s="58">
        <f t="shared" si="227"/>
        <v>2792.64</v>
      </c>
      <c r="AK63" s="59">
        <f t="shared" si="228"/>
        <v>2255.2399999999998</v>
      </c>
      <c r="AL63" s="60">
        <f t="shared" si="229"/>
        <v>20.2</v>
      </c>
      <c r="AM63" s="61">
        <f t="shared" si="230"/>
        <v>672.40000000000009</v>
      </c>
      <c r="AN63" s="61"/>
      <c r="AO63" s="62">
        <f t="shared" si="231"/>
        <v>706.64999999999986</v>
      </c>
      <c r="AP63" s="63">
        <f t="shared" si="232"/>
        <v>3634.29</v>
      </c>
      <c r="AQ63" s="64">
        <f t="shared" si="233"/>
        <v>642.15</v>
      </c>
      <c r="AR63" s="86">
        <v>0.28299999999999997</v>
      </c>
      <c r="AS63" s="78">
        <f>AS62+AP63</f>
        <v>11382.43</v>
      </c>
      <c r="AV63" s="79" t="s">
        <v>37</v>
      </c>
      <c r="AW63" s="80">
        <f t="shared" si="234"/>
        <v>46072</v>
      </c>
      <c r="AX63" s="68">
        <f t="shared" si="245"/>
        <v>457.2</v>
      </c>
      <c r="AY63" s="68">
        <f t="shared" si="235"/>
        <v>384.45</v>
      </c>
      <c r="AZ63" s="69">
        <f t="shared" si="246"/>
        <v>2470.44</v>
      </c>
      <c r="BA63" s="69">
        <f t="shared" si="236"/>
        <v>322.19999999999982</v>
      </c>
      <c r="BB63" s="81">
        <f t="shared" si="237"/>
        <v>841.65</v>
      </c>
      <c r="BC63" s="82">
        <f t="shared" si="238"/>
        <v>2792.64</v>
      </c>
      <c r="BD63" s="81">
        <f t="shared" si="239"/>
        <v>2927.64</v>
      </c>
      <c r="BE63" s="82">
        <f t="shared" si="240"/>
        <v>706.64999999999986</v>
      </c>
      <c r="BF63" s="83">
        <f t="shared" si="241"/>
        <v>3634.29</v>
      </c>
      <c r="BG63" s="84">
        <f t="shared" si="242"/>
        <v>642.15</v>
      </c>
      <c r="BH63" s="85">
        <f>BH62+BF63</f>
        <v>14735.939999999999</v>
      </c>
      <c r="BP63" s="12"/>
    </row>
    <row r="64" spans="1:70" s="8" customFormat="1" ht="14.25" customHeight="1" thickBot="1" x14ac:dyDescent="0.25">
      <c r="A64" s="493" t="s">
        <v>38</v>
      </c>
      <c r="B64" s="492">
        <v>46073</v>
      </c>
      <c r="C64" s="489">
        <v>11</v>
      </c>
      <c r="D64" s="74">
        <v>10</v>
      </c>
      <c r="E64" s="74">
        <v>1</v>
      </c>
      <c r="F64" s="510">
        <v>0</v>
      </c>
      <c r="G64" s="509">
        <v>0</v>
      </c>
      <c r="H64" s="75">
        <v>7</v>
      </c>
      <c r="I64" s="76">
        <f t="shared" si="221"/>
        <v>7</v>
      </c>
      <c r="J64" s="48">
        <v>1035.9100000000001</v>
      </c>
      <c r="K64" s="49">
        <v>0</v>
      </c>
      <c r="L64" s="49">
        <v>0</v>
      </c>
      <c r="M64" s="49">
        <v>0</v>
      </c>
      <c r="N64" s="49">
        <v>93.1</v>
      </c>
      <c r="O64" s="49"/>
      <c r="P64" s="49">
        <v>269.55</v>
      </c>
      <c r="Q64" s="51">
        <v>1398.56</v>
      </c>
      <c r="R64" s="52">
        <f t="shared" si="243"/>
        <v>269.54999999999984</v>
      </c>
      <c r="S64" s="116"/>
      <c r="T64" s="48">
        <v>3225.36</v>
      </c>
      <c r="U64" s="49">
        <v>488.25</v>
      </c>
      <c r="V64" s="49">
        <v>25.14</v>
      </c>
      <c r="W64" s="49" t="s">
        <v>215</v>
      </c>
      <c r="X64" s="49">
        <v>770.5</v>
      </c>
      <c r="Y64" s="49">
        <v>20.9</v>
      </c>
      <c r="Z64" s="49">
        <v>1311.1</v>
      </c>
      <c r="AA64" s="51">
        <v>5912.61</v>
      </c>
      <c r="AB64" s="53">
        <f t="shared" si="244"/>
        <v>1407.5999999999995</v>
      </c>
      <c r="AC64" s="54"/>
      <c r="AD64" s="55">
        <f t="shared" si="222"/>
        <v>4261.2700000000004</v>
      </c>
      <c r="AE64" s="50">
        <f t="shared" si="223"/>
        <v>488.25</v>
      </c>
      <c r="AF64" s="50">
        <f t="shared" si="224"/>
        <v>863.6</v>
      </c>
      <c r="AG64" s="50"/>
      <c r="AH64" s="56">
        <f t="shared" si="225"/>
        <v>1677.1499999999992</v>
      </c>
      <c r="AI64" s="57">
        <f t="shared" si="226"/>
        <v>1398.56</v>
      </c>
      <c r="AJ64" s="58">
        <f t="shared" si="227"/>
        <v>5912.61</v>
      </c>
      <c r="AK64" s="59">
        <f t="shared" si="228"/>
        <v>4261.2700000000004</v>
      </c>
      <c r="AL64" s="60" t="e">
        <f t="shared" si="229"/>
        <v>#VALUE!</v>
      </c>
      <c r="AM64" s="61">
        <f t="shared" si="230"/>
        <v>863.6</v>
      </c>
      <c r="AN64" s="61"/>
      <c r="AO64" s="62">
        <f t="shared" si="231"/>
        <v>1677.1499999999992</v>
      </c>
      <c r="AP64" s="63">
        <f t="shared" si="232"/>
        <v>7311.17</v>
      </c>
      <c r="AQ64" s="64">
        <f t="shared" si="233"/>
        <v>1580.6499999999999</v>
      </c>
      <c r="AR64" s="87" t="s">
        <v>39</v>
      </c>
      <c r="AS64" s="78">
        <f>AS63+AP64</f>
        <v>18693.599999999999</v>
      </c>
      <c r="AV64" s="79" t="s">
        <v>38</v>
      </c>
      <c r="AW64" s="80">
        <f t="shared" si="234"/>
        <v>46073</v>
      </c>
      <c r="AX64" s="68">
        <f t="shared" si="245"/>
        <v>1129.01</v>
      </c>
      <c r="AY64" s="68">
        <f t="shared" si="235"/>
        <v>269.54999999999984</v>
      </c>
      <c r="AZ64" s="69">
        <f t="shared" si="246"/>
        <v>4484.1100000000006</v>
      </c>
      <c r="BA64" s="69">
        <f t="shared" si="236"/>
        <v>1407.5999999999995</v>
      </c>
      <c r="BB64" s="81">
        <f t="shared" si="237"/>
        <v>1398.56</v>
      </c>
      <c r="BC64" s="82">
        <f t="shared" si="238"/>
        <v>5891.71</v>
      </c>
      <c r="BD64" s="81">
        <f t="shared" si="239"/>
        <v>5613.1200000000008</v>
      </c>
      <c r="BE64" s="82">
        <f t="shared" si="240"/>
        <v>1677.1499999999992</v>
      </c>
      <c r="BF64" s="83">
        <f t="shared" si="241"/>
        <v>7290.27</v>
      </c>
      <c r="BG64" s="84">
        <f t="shared" si="242"/>
        <v>1580.6499999999999</v>
      </c>
      <c r="BH64" s="85">
        <f>BH63+BF64</f>
        <v>22026.21</v>
      </c>
      <c r="BP64" s="12"/>
      <c r="BR64" s="88"/>
    </row>
    <row r="65" spans="1:70" s="8" customFormat="1" ht="14.25" customHeight="1" thickBot="1" x14ac:dyDescent="0.25">
      <c r="A65" s="493" t="s">
        <v>40</v>
      </c>
      <c r="B65" s="492">
        <v>46074</v>
      </c>
      <c r="C65" s="489"/>
      <c r="D65" s="74"/>
      <c r="E65" s="74"/>
      <c r="F65" s="510">
        <v>0</v>
      </c>
      <c r="G65" s="509">
        <v>0</v>
      </c>
      <c r="H65" s="75">
        <v>4</v>
      </c>
      <c r="I65" s="76">
        <f t="shared" si="221"/>
        <v>4</v>
      </c>
      <c r="J65" s="48">
        <v>796.26</v>
      </c>
      <c r="K65" s="49">
        <v>0</v>
      </c>
      <c r="L65" s="49">
        <v>0</v>
      </c>
      <c r="M65" s="49">
        <v>0</v>
      </c>
      <c r="N65" s="49">
        <v>106.5</v>
      </c>
      <c r="O65" s="49"/>
      <c r="P65" s="49">
        <v>552.45000000000005</v>
      </c>
      <c r="Q65" s="51">
        <v>1455.21</v>
      </c>
      <c r="R65" s="52">
        <f>Q65-J65-K65-N65-O65</f>
        <v>552.45000000000005</v>
      </c>
      <c r="S65" s="116"/>
      <c r="T65" s="48">
        <v>2395.91</v>
      </c>
      <c r="U65" s="49">
        <v>192.19</v>
      </c>
      <c r="V65" s="49">
        <v>55.93</v>
      </c>
      <c r="W65" s="49">
        <v>0</v>
      </c>
      <c r="X65" s="49">
        <v>1300</v>
      </c>
      <c r="Y65" s="49"/>
      <c r="Z65" s="49">
        <v>1033.45</v>
      </c>
      <c r="AA65" s="51">
        <v>5006.55</v>
      </c>
      <c r="AB65" s="53">
        <f t="shared" si="244"/>
        <v>1118.4500000000003</v>
      </c>
      <c r="AC65" s="54"/>
      <c r="AD65" s="55">
        <f t="shared" si="222"/>
        <v>3192.17</v>
      </c>
      <c r="AE65" s="50">
        <f t="shared" si="223"/>
        <v>192.19</v>
      </c>
      <c r="AF65" s="50">
        <f t="shared" si="224"/>
        <v>1406.5</v>
      </c>
      <c r="AG65" s="50"/>
      <c r="AH65" s="56">
        <f t="shared" si="225"/>
        <v>1670.9000000000003</v>
      </c>
      <c r="AI65" s="57">
        <f t="shared" si="226"/>
        <v>1455.21</v>
      </c>
      <c r="AJ65" s="58">
        <f t="shared" si="227"/>
        <v>5006.55</v>
      </c>
      <c r="AK65" s="59">
        <f t="shared" si="228"/>
        <v>3192.17</v>
      </c>
      <c r="AL65" s="60">
        <f t="shared" si="229"/>
        <v>248.12</v>
      </c>
      <c r="AM65" s="61">
        <f t="shared" si="230"/>
        <v>1406.5</v>
      </c>
      <c r="AN65" s="61"/>
      <c r="AO65" s="62">
        <f t="shared" si="231"/>
        <v>1670.9000000000003</v>
      </c>
      <c r="AP65" s="63">
        <f t="shared" si="232"/>
        <v>6461.76</v>
      </c>
      <c r="AQ65" s="64">
        <f t="shared" si="233"/>
        <v>1585.9</v>
      </c>
      <c r="AR65" s="89"/>
      <c r="AS65" s="78">
        <f>AS64+AP65</f>
        <v>25155.360000000001</v>
      </c>
      <c r="AV65" s="79" t="s">
        <v>40</v>
      </c>
      <c r="AW65" s="80">
        <f t="shared" si="234"/>
        <v>46074</v>
      </c>
      <c r="AX65" s="68">
        <f t="shared" si="245"/>
        <v>902.76</v>
      </c>
      <c r="AY65" s="68">
        <f t="shared" si="235"/>
        <v>552.45000000000005</v>
      </c>
      <c r="AZ65" s="69">
        <f t="shared" si="246"/>
        <v>3888.1</v>
      </c>
      <c r="BA65" s="69">
        <f t="shared" si="236"/>
        <v>1118.4500000000003</v>
      </c>
      <c r="BB65" s="81">
        <f t="shared" si="237"/>
        <v>1455.21</v>
      </c>
      <c r="BC65" s="82">
        <f t="shared" si="238"/>
        <v>5006.55</v>
      </c>
      <c r="BD65" s="81">
        <f t="shared" si="239"/>
        <v>4790.8599999999997</v>
      </c>
      <c r="BE65" s="82">
        <f t="shared" si="240"/>
        <v>1670.9000000000003</v>
      </c>
      <c r="BF65" s="83">
        <f t="shared" si="241"/>
        <v>6461.76</v>
      </c>
      <c r="BG65" s="84">
        <f t="shared" si="242"/>
        <v>1585.9</v>
      </c>
      <c r="BH65" s="85">
        <f>BH64+BF65</f>
        <v>28487.97</v>
      </c>
      <c r="BP65" s="12"/>
    </row>
    <row r="66" spans="1:70" s="8" customFormat="1" ht="14.25" customHeight="1" x14ac:dyDescent="0.2">
      <c r="A66" s="493" t="s">
        <v>41</v>
      </c>
      <c r="B66" s="492">
        <v>46075</v>
      </c>
      <c r="C66" s="489">
        <v>6</v>
      </c>
      <c r="D66" s="74">
        <v>7</v>
      </c>
      <c r="E66" s="74">
        <v>1</v>
      </c>
      <c r="F66" s="510">
        <v>0</v>
      </c>
      <c r="G66" s="509">
        <v>1</v>
      </c>
      <c r="H66" s="75">
        <v>4</v>
      </c>
      <c r="I66" s="76">
        <f t="shared" si="221"/>
        <v>5</v>
      </c>
      <c r="J66" s="48">
        <v>861.54</v>
      </c>
      <c r="K66" s="49">
        <v>0</v>
      </c>
      <c r="L66" s="49">
        <v>0</v>
      </c>
      <c r="M66" s="49">
        <v>0</v>
      </c>
      <c r="N66" s="49">
        <v>98.6</v>
      </c>
      <c r="O66" s="49">
        <v>35.799999999999997</v>
      </c>
      <c r="P66" s="49">
        <v>962.95</v>
      </c>
      <c r="Q66" s="51">
        <v>1958.89</v>
      </c>
      <c r="R66" s="52">
        <f t="shared" ref="R66" si="247">Q66-J66-K66-N66-O66</f>
        <v>962.95000000000016</v>
      </c>
      <c r="S66" s="116"/>
      <c r="T66" s="48">
        <v>2007.47</v>
      </c>
      <c r="U66" s="49">
        <v>136.53</v>
      </c>
      <c r="V66" s="49">
        <v>84.35</v>
      </c>
      <c r="W66" s="49">
        <v>89.7</v>
      </c>
      <c r="X66" s="49">
        <v>302.2</v>
      </c>
      <c r="Y66" s="49"/>
      <c r="Z66" s="49">
        <v>413.03</v>
      </c>
      <c r="AA66" s="51">
        <v>2949.23</v>
      </c>
      <c r="AB66" s="53">
        <f t="shared" si="244"/>
        <v>503.03000000000003</v>
      </c>
      <c r="AC66" s="54"/>
      <c r="AD66" s="55">
        <f t="shared" si="222"/>
        <v>2869.01</v>
      </c>
      <c r="AE66" s="50">
        <f t="shared" si="223"/>
        <v>136.53</v>
      </c>
      <c r="AF66" s="50">
        <f t="shared" si="224"/>
        <v>400.79999999999995</v>
      </c>
      <c r="AG66" s="50"/>
      <c r="AH66" s="56">
        <f t="shared" si="225"/>
        <v>1465.9800000000002</v>
      </c>
      <c r="AI66" s="57">
        <f t="shared" si="226"/>
        <v>1958.89</v>
      </c>
      <c r="AJ66" s="58">
        <f t="shared" si="227"/>
        <v>2949.23</v>
      </c>
      <c r="AK66" s="59">
        <f t="shared" si="228"/>
        <v>2869.01</v>
      </c>
      <c r="AL66" s="60">
        <f t="shared" si="229"/>
        <v>310.58</v>
      </c>
      <c r="AM66" s="61">
        <f t="shared" si="230"/>
        <v>400.79999999999995</v>
      </c>
      <c r="AN66" s="61"/>
      <c r="AO66" s="62">
        <f t="shared" si="231"/>
        <v>1465.9800000000002</v>
      </c>
      <c r="AP66" s="63">
        <f t="shared" si="232"/>
        <v>4908.12</v>
      </c>
      <c r="AQ66" s="64">
        <f t="shared" si="233"/>
        <v>1375.98</v>
      </c>
      <c r="AR66" s="90">
        <f>AR65-AM67</f>
        <v>-4795.5000000000009</v>
      </c>
      <c r="AS66" s="78">
        <f>AS65+AP66</f>
        <v>30063.48</v>
      </c>
      <c r="AV66" s="79" t="s">
        <v>41</v>
      </c>
      <c r="AW66" s="80">
        <f t="shared" si="234"/>
        <v>46075</v>
      </c>
      <c r="AX66" s="68">
        <f t="shared" si="245"/>
        <v>960.14</v>
      </c>
      <c r="AY66" s="68">
        <f t="shared" si="235"/>
        <v>962.95000000000016</v>
      </c>
      <c r="AZ66" s="69">
        <f t="shared" si="246"/>
        <v>2446.1999999999998</v>
      </c>
      <c r="BA66" s="69">
        <f t="shared" si="236"/>
        <v>503.03000000000003</v>
      </c>
      <c r="BB66" s="81">
        <f t="shared" si="237"/>
        <v>1923.0900000000001</v>
      </c>
      <c r="BC66" s="82">
        <f t="shared" si="238"/>
        <v>2949.23</v>
      </c>
      <c r="BD66" s="81">
        <f t="shared" si="239"/>
        <v>3406.3399999999997</v>
      </c>
      <c r="BE66" s="82">
        <f t="shared" si="240"/>
        <v>1465.9800000000002</v>
      </c>
      <c r="BF66" s="83">
        <f t="shared" si="241"/>
        <v>4872.32</v>
      </c>
      <c r="BG66" s="84">
        <f t="shared" si="242"/>
        <v>1375.98</v>
      </c>
      <c r="BH66" s="85">
        <f>BH65+BF66</f>
        <v>33360.29</v>
      </c>
      <c r="BP66" s="12"/>
    </row>
    <row r="67" spans="1:70" s="105" customFormat="1" ht="14.25" customHeight="1" thickBot="1" x14ac:dyDescent="0.25">
      <c r="A67" s="495" t="s">
        <v>42</v>
      </c>
      <c r="B67" s="496"/>
      <c r="C67" s="490">
        <f>SUM(C60:C66)</f>
        <v>30</v>
      </c>
      <c r="D67" s="93">
        <f>SUM(D60:D66)</f>
        <v>54</v>
      </c>
      <c r="E67" s="14">
        <f>SUM(E60:E66)</f>
        <v>2</v>
      </c>
      <c r="F67" s="523">
        <f>SUM(I60:I66)</f>
        <v>27</v>
      </c>
      <c r="G67" s="524"/>
      <c r="H67" s="524"/>
      <c r="I67" s="387">
        <f>SUM(C67:H67)</f>
        <v>113</v>
      </c>
      <c r="J67" s="94">
        <f t="shared" ref="J67:N67" si="248">SUM(J60:J66)</f>
        <v>4486.92</v>
      </c>
      <c r="K67" s="95">
        <f t="shared" si="248"/>
        <v>0</v>
      </c>
      <c r="L67" s="95">
        <f t="shared" si="248"/>
        <v>30.7</v>
      </c>
      <c r="M67" s="95">
        <f t="shared" si="248"/>
        <v>42.8</v>
      </c>
      <c r="N67" s="95">
        <f t="shared" si="248"/>
        <v>532.20000000000005</v>
      </c>
      <c r="O67" s="95"/>
      <c r="P67" s="95">
        <f t="shared" ref="P67:R67" si="249">SUM(P60:P66)</f>
        <v>2984.45</v>
      </c>
      <c r="Q67" s="96">
        <f t="shared" si="249"/>
        <v>8104.67</v>
      </c>
      <c r="R67" s="97">
        <f t="shared" si="249"/>
        <v>3049.7500000000005</v>
      </c>
      <c r="S67" s="117"/>
      <c r="T67" s="94">
        <f t="shared" ref="T67:X67" si="250">SUM(T60:T66)</f>
        <v>14394.029999999999</v>
      </c>
      <c r="U67" s="95">
        <f t="shared" si="250"/>
        <v>1306.1099999999999</v>
      </c>
      <c r="V67" s="95">
        <f t="shared" si="250"/>
        <v>457.44000000000005</v>
      </c>
      <c r="W67" s="95">
        <f t="shared" si="250"/>
        <v>89.7</v>
      </c>
      <c r="X67" s="95">
        <f t="shared" si="250"/>
        <v>4263.3</v>
      </c>
      <c r="Y67" s="95"/>
      <c r="Z67" s="95">
        <f t="shared" ref="Z67:AA67" si="251">SUM(Z60:Z66)</f>
        <v>4765.4799999999996</v>
      </c>
      <c r="AA67" s="96">
        <f t="shared" si="251"/>
        <v>25312.319999999996</v>
      </c>
      <c r="AB67" s="98">
        <f>SUM(AB60:AB66)</f>
        <v>5327.9799999999987</v>
      </c>
      <c r="AC67" s="99"/>
      <c r="AD67" s="100">
        <f t="shared" ref="AD67:AF67" si="252">SUM(AD60:AD66)</f>
        <v>18880.95</v>
      </c>
      <c r="AE67" s="95">
        <f t="shared" si="252"/>
        <v>1306.1099999999999</v>
      </c>
      <c r="AF67" s="95">
        <f t="shared" si="252"/>
        <v>4795.5000000000009</v>
      </c>
      <c r="AG67" s="95"/>
      <c r="AH67" s="95">
        <f t="shared" ref="AH67:AM67" si="253">SUM(AH60:AH66)</f>
        <v>8377.73</v>
      </c>
      <c r="AI67" s="95">
        <f t="shared" si="253"/>
        <v>8104.67</v>
      </c>
      <c r="AJ67" s="95">
        <f t="shared" si="253"/>
        <v>25312.319999999996</v>
      </c>
      <c r="AK67" s="101">
        <f t="shared" si="253"/>
        <v>18880.95</v>
      </c>
      <c r="AL67" s="95" t="e">
        <f t="shared" si="253"/>
        <v>#VALUE!</v>
      </c>
      <c r="AM67" s="95">
        <f t="shared" si="253"/>
        <v>4795.5000000000009</v>
      </c>
      <c r="AN67" s="95"/>
      <c r="AO67" s="95">
        <f t="shared" ref="AO67:AP67" si="254">SUM(AO60:AO66)</f>
        <v>8377.73</v>
      </c>
      <c r="AP67" s="95">
        <f t="shared" si="254"/>
        <v>33416.990000000005</v>
      </c>
      <c r="AQ67" s="102">
        <f>SUM(AQ60:AQ66)</f>
        <v>7749.93</v>
      </c>
      <c r="AR67" s="103">
        <f>AR66</f>
        <v>-4795.5000000000009</v>
      </c>
      <c r="AS67" s="104">
        <f>AP67+AR67</f>
        <v>28621.490000000005</v>
      </c>
      <c r="AV67" s="525" t="s">
        <v>42</v>
      </c>
      <c r="AW67" s="526"/>
      <c r="AX67" s="95">
        <f t="shared" ref="AX67:BD67" si="255">SUM(AX60:AX66)</f>
        <v>5019.1200000000008</v>
      </c>
      <c r="AY67" s="95">
        <f t="shared" si="255"/>
        <v>3049.7500000000005</v>
      </c>
      <c r="AZ67" s="95">
        <f t="shared" si="255"/>
        <v>19963.440000000002</v>
      </c>
      <c r="BA67" s="95">
        <f t="shared" si="255"/>
        <v>5327.9799999999987</v>
      </c>
      <c r="BB67" s="95">
        <f t="shared" si="255"/>
        <v>8068.87</v>
      </c>
      <c r="BC67" s="95">
        <f t="shared" si="255"/>
        <v>25291.42</v>
      </c>
      <c r="BD67" s="95">
        <f t="shared" si="255"/>
        <v>24982.560000000001</v>
      </c>
      <c r="BE67" s="95">
        <f>SUM(BE60:BE66)</f>
        <v>8377.73</v>
      </c>
      <c r="BF67" s="95">
        <f t="shared" ref="BF67:BG67" si="256">SUM(BF60:BF66)</f>
        <v>33360.29</v>
      </c>
      <c r="BG67" s="95">
        <f t="shared" si="256"/>
        <v>7749.93</v>
      </c>
      <c r="BP67" s="106"/>
    </row>
    <row r="68" spans="1:70" s="8" customFormat="1" ht="14.25" customHeight="1" thickBot="1" x14ac:dyDescent="0.25">
      <c r="A68" s="491" t="s">
        <v>34</v>
      </c>
      <c r="B68" s="492">
        <v>46076</v>
      </c>
      <c r="C68" s="488"/>
      <c r="D68" s="45"/>
      <c r="E68" s="45"/>
      <c r="F68" s="510">
        <v>0</v>
      </c>
      <c r="G68" s="509">
        <v>0</v>
      </c>
      <c r="H68" s="46"/>
      <c r="I68" s="47">
        <f t="shared" ref="I68:I74" si="257">SUM(F68:H68)</f>
        <v>0</v>
      </c>
      <c r="J68" s="48">
        <v>0</v>
      </c>
      <c r="K68" s="49">
        <v>0</v>
      </c>
      <c r="L68" s="49">
        <v>0</v>
      </c>
      <c r="M68" s="49">
        <v>0</v>
      </c>
      <c r="N68" s="49">
        <v>0</v>
      </c>
      <c r="O68" s="49"/>
      <c r="P68" s="49">
        <v>0</v>
      </c>
      <c r="Q68" s="51">
        <v>0</v>
      </c>
      <c r="R68" s="52">
        <f>Q68-J68-K68-N68-O68</f>
        <v>0</v>
      </c>
      <c r="S68" s="116"/>
      <c r="T68" s="48">
        <v>0</v>
      </c>
      <c r="U68" s="49">
        <v>0</v>
      </c>
      <c r="V68" s="49">
        <v>0</v>
      </c>
      <c r="W68" s="49">
        <v>0</v>
      </c>
      <c r="X68" s="49">
        <v>0</v>
      </c>
      <c r="Y68" s="49"/>
      <c r="Z68" s="49">
        <v>0</v>
      </c>
      <c r="AA68" s="51">
        <v>0</v>
      </c>
      <c r="AB68" s="53">
        <f>AA68-T68-U68-X68-Y68</f>
        <v>0</v>
      </c>
      <c r="AC68" s="54"/>
      <c r="AD68" s="55">
        <f t="shared" ref="AD68:AD74" si="258">T68+J68</f>
        <v>0</v>
      </c>
      <c r="AE68" s="50">
        <f t="shared" ref="AE68:AE74" si="259">K68+U68</f>
        <v>0</v>
      </c>
      <c r="AF68" s="50">
        <f t="shared" ref="AF68:AF74" si="260">N68+X68</f>
        <v>0</v>
      </c>
      <c r="AG68" s="50"/>
      <c r="AH68" s="56">
        <f t="shared" ref="AH68:AH74" si="261">R68+AB68</f>
        <v>0</v>
      </c>
      <c r="AI68" s="57">
        <f t="shared" ref="AI68:AI74" si="262">Q68</f>
        <v>0</v>
      </c>
      <c r="AJ68" s="58">
        <f t="shared" ref="AJ68:AJ74" si="263">AA68</f>
        <v>0</v>
      </c>
      <c r="AK68" s="59">
        <f t="shared" ref="AK68:AK74" si="264">AD68</f>
        <v>0</v>
      </c>
      <c r="AL68" s="60">
        <f t="shared" ref="AL68:AL74" si="265">K68+L68+M68+U68+V68+W68</f>
        <v>0</v>
      </c>
      <c r="AM68" s="61">
        <f t="shared" ref="AM68:AM74" si="266">N68+X68</f>
        <v>0</v>
      </c>
      <c r="AN68" s="61"/>
      <c r="AO68" s="62">
        <f t="shared" ref="AO68:AO74" si="267">R68+AB68</f>
        <v>0</v>
      </c>
      <c r="AP68" s="63">
        <f t="shared" ref="AP68:AP74" si="268">AI68+AJ68</f>
        <v>0</v>
      </c>
      <c r="AQ68" s="64">
        <f t="shared" ref="AQ68:AQ74" si="269">P68+Z68</f>
        <v>0</v>
      </c>
      <c r="AR68" s="65"/>
      <c r="AS68" s="33"/>
      <c r="AV68" s="66" t="s">
        <v>34</v>
      </c>
      <c r="AW68" s="67">
        <f t="shared" ref="AW68:AW74" si="270">B68</f>
        <v>46076</v>
      </c>
      <c r="AX68" s="68">
        <f>J68+K68+N68</f>
        <v>0</v>
      </c>
      <c r="AY68" s="68">
        <f t="shared" ref="AY68:AY74" si="271">R68</f>
        <v>0</v>
      </c>
      <c r="AZ68" s="69">
        <f>T68+U68+X68</f>
        <v>0</v>
      </c>
      <c r="BA68" s="69">
        <f t="shared" ref="BA68:BA74" si="272">AB68</f>
        <v>0</v>
      </c>
      <c r="BB68" s="70">
        <f t="shared" ref="BB68:BB74" si="273">AX68+AY68</f>
        <v>0</v>
      </c>
      <c r="BC68" s="71">
        <f t="shared" ref="BC68:BC74" si="274">AZ68+BA68</f>
        <v>0</v>
      </c>
      <c r="BD68" s="70">
        <f t="shared" ref="BD68:BD74" si="275">AX68+AZ68</f>
        <v>0</v>
      </c>
      <c r="BE68" s="71">
        <f t="shared" ref="BE68:BE74" si="276">AY68+BA68</f>
        <v>0</v>
      </c>
      <c r="BF68" s="72">
        <f t="shared" ref="BF68:BF74" si="277">BD68+BE68</f>
        <v>0</v>
      </c>
      <c r="BG68" s="73">
        <f t="shared" ref="BG68:BG74" si="278">AQ68</f>
        <v>0</v>
      </c>
      <c r="BP68" s="12"/>
    </row>
    <row r="69" spans="1:70" s="8" customFormat="1" ht="14.25" customHeight="1" thickBot="1" x14ac:dyDescent="0.25">
      <c r="A69" s="493" t="s">
        <v>35</v>
      </c>
      <c r="B69" s="492">
        <v>46077</v>
      </c>
      <c r="C69" s="489"/>
      <c r="D69" s="74"/>
      <c r="E69" s="74"/>
      <c r="F69" s="510">
        <v>0</v>
      </c>
      <c r="G69" s="509">
        <v>0</v>
      </c>
      <c r="H69" s="75"/>
      <c r="I69" s="76">
        <f t="shared" si="257"/>
        <v>0</v>
      </c>
      <c r="J69" s="48">
        <v>0</v>
      </c>
      <c r="K69" s="49">
        <v>0</v>
      </c>
      <c r="L69" s="49">
        <v>0</v>
      </c>
      <c r="M69" s="49">
        <v>0</v>
      </c>
      <c r="N69" s="49">
        <v>0</v>
      </c>
      <c r="O69" s="49"/>
      <c r="P69" s="49">
        <v>0</v>
      </c>
      <c r="Q69" s="51">
        <v>0</v>
      </c>
      <c r="R69" s="52">
        <f t="shared" ref="R69:R72" si="279">Q69-J69-K69-N69-O69</f>
        <v>0</v>
      </c>
      <c r="S69" s="116"/>
      <c r="T69" s="48">
        <v>0</v>
      </c>
      <c r="U69" s="49">
        <v>0</v>
      </c>
      <c r="V69" s="49">
        <v>0</v>
      </c>
      <c r="W69" s="49">
        <v>0</v>
      </c>
      <c r="X69" s="49">
        <v>0</v>
      </c>
      <c r="Y69" s="49"/>
      <c r="Z69" s="49">
        <v>0</v>
      </c>
      <c r="AA69" s="51">
        <v>0</v>
      </c>
      <c r="AB69" s="53">
        <f t="shared" ref="AB69:AB74" si="280">AA69-T69-U69-X69-Y69</f>
        <v>0</v>
      </c>
      <c r="AC69" s="54"/>
      <c r="AD69" s="55">
        <f t="shared" si="258"/>
        <v>0</v>
      </c>
      <c r="AE69" s="50">
        <f t="shared" si="259"/>
        <v>0</v>
      </c>
      <c r="AF69" s="50">
        <f t="shared" si="260"/>
        <v>0</v>
      </c>
      <c r="AG69" s="50"/>
      <c r="AH69" s="56">
        <f t="shared" si="261"/>
        <v>0</v>
      </c>
      <c r="AI69" s="57">
        <f t="shared" si="262"/>
        <v>0</v>
      </c>
      <c r="AJ69" s="58">
        <f t="shared" si="263"/>
        <v>0</v>
      </c>
      <c r="AK69" s="59">
        <f t="shared" si="264"/>
        <v>0</v>
      </c>
      <c r="AL69" s="60">
        <f t="shared" si="265"/>
        <v>0</v>
      </c>
      <c r="AM69" s="61">
        <f t="shared" si="266"/>
        <v>0</v>
      </c>
      <c r="AN69" s="61"/>
      <c r="AO69" s="62">
        <f t="shared" si="267"/>
        <v>0</v>
      </c>
      <c r="AP69" s="63">
        <f t="shared" si="268"/>
        <v>0</v>
      </c>
      <c r="AQ69" s="64">
        <f t="shared" si="269"/>
        <v>0</v>
      </c>
      <c r="AR69" s="77"/>
      <c r="AS69" s="78">
        <f>AP68+AP69</f>
        <v>0</v>
      </c>
      <c r="AV69" s="79" t="s">
        <v>35</v>
      </c>
      <c r="AW69" s="80">
        <f t="shared" si="270"/>
        <v>46077</v>
      </c>
      <c r="AX69" s="68">
        <f t="shared" ref="AX69:AX74" si="281">J69+K69+N69</f>
        <v>0</v>
      </c>
      <c r="AY69" s="68">
        <f t="shared" si="271"/>
        <v>0</v>
      </c>
      <c r="AZ69" s="69">
        <f t="shared" ref="AZ69:AZ74" si="282">T69+U69+X69</f>
        <v>0</v>
      </c>
      <c r="BA69" s="69">
        <f t="shared" si="272"/>
        <v>0</v>
      </c>
      <c r="BB69" s="81">
        <f t="shared" si="273"/>
        <v>0</v>
      </c>
      <c r="BC69" s="82">
        <f t="shared" si="274"/>
        <v>0</v>
      </c>
      <c r="BD69" s="81">
        <f t="shared" si="275"/>
        <v>0</v>
      </c>
      <c r="BE69" s="82">
        <f t="shared" si="276"/>
        <v>0</v>
      </c>
      <c r="BF69" s="83">
        <f t="shared" si="277"/>
        <v>0</v>
      </c>
      <c r="BG69" s="84">
        <f t="shared" si="278"/>
        <v>0</v>
      </c>
      <c r="BH69" s="85">
        <f>BF68+BF69</f>
        <v>0</v>
      </c>
      <c r="BP69" s="12"/>
    </row>
    <row r="70" spans="1:70" s="110" customFormat="1" ht="14.25" customHeight="1" thickBot="1" x14ac:dyDescent="0.25">
      <c r="A70" s="494" t="s">
        <v>36</v>
      </c>
      <c r="B70" s="492">
        <v>46078</v>
      </c>
      <c r="C70" s="489"/>
      <c r="D70" s="74"/>
      <c r="E70" s="74"/>
      <c r="F70" s="510">
        <v>0</v>
      </c>
      <c r="G70" s="509">
        <v>0</v>
      </c>
      <c r="H70" s="75"/>
      <c r="I70" s="76">
        <f t="shared" si="257"/>
        <v>0</v>
      </c>
      <c r="J70" s="48">
        <v>0</v>
      </c>
      <c r="K70" s="49">
        <v>0</v>
      </c>
      <c r="L70" s="49">
        <v>0</v>
      </c>
      <c r="M70" s="49">
        <v>0</v>
      </c>
      <c r="N70" s="49">
        <v>0</v>
      </c>
      <c r="O70" s="49"/>
      <c r="P70" s="49">
        <v>0</v>
      </c>
      <c r="Q70" s="51">
        <v>0</v>
      </c>
      <c r="R70" s="52">
        <f t="shared" si="279"/>
        <v>0</v>
      </c>
      <c r="S70" s="116"/>
      <c r="T70" s="48">
        <v>0</v>
      </c>
      <c r="U70" s="49">
        <v>0</v>
      </c>
      <c r="V70" s="49">
        <v>0</v>
      </c>
      <c r="W70" s="49">
        <v>0</v>
      </c>
      <c r="X70" s="49">
        <v>0</v>
      </c>
      <c r="Y70" s="49"/>
      <c r="Z70" s="49">
        <v>0</v>
      </c>
      <c r="AA70" s="51">
        <v>0</v>
      </c>
      <c r="AB70" s="53">
        <f t="shared" si="280"/>
        <v>0</v>
      </c>
      <c r="AC70" s="54"/>
      <c r="AD70" s="55">
        <f t="shared" si="258"/>
        <v>0</v>
      </c>
      <c r="AE70" s="50">
        <f t="shared" si="259"/>
        <v>0</v>
      </c>
      <c r="AF70" s="50">
        <f t="shared" si="260"/>
        <v>0</v>
      </c>
      <c r="AG70" s="50"/>
      <c r="AH70" s="56">
        <f t="shared" si="261"/>
        <v>0</v>
      </c>
      <c r="AI70" s="57">
        <f t="shared" si="262"/>
        <v>0</v>
      </c>
      <c r="AJ70" s="58">
        <f t="shared" si="263"/>
        <v>0</v>
      </c>
      <c r="AK70" s="59">
        <f t="shared" si="264"/>
        <v>0</v>
      </c>
      <c r="AL70" s="60">
        <f t="shared" si="265"/>
        <v>0</v>
      </c>
      <c r="AM70" s="61">
        <f t="shared" si="266"/>
        <v>0</v>
      </c>
      <c r="AN70" s="61"/>
      <c r="AO70" s="62">
        <f t="shared" si="267"/>
        <v>0</v>
      </c>
      <c r="AP70" s="63">
        <f t="shared" si="268"/>
        <v>0</v>
      </c>
      <c r="AQ70" s="64">
        <f t="shared" si="269"/>
        <v>0</v>
      </c>
      <c r="AR70" s="77"/>
      <c r="AS70" s="78">
        <f>AP69+AP70</f>
        <v>0</v>
      </c>
      <c r="AV70" s="111" t="s">
        <v>36</v>
      </c>
      <c r="AW70" s="112">
        <f t="shared" si="270"/>
        <v>46078</v>
      </c>
      <c r="AX70" s="69">
        <f t="shared" si="281"/>
        <v>0</v>
      </c>
      <c r="AY70" s="69">
        <f t="shared" si="271"/>
        <v>0</v>
      </c>
      <c r="AZ70" s="69">
        <f t="shared" si="282"/>
        <v>0</v>
      </c>
      <c r="BA70" s="69">
        <f t="shared" si="272"/>
        <v>0</v>
      </c>
      <c r="BB70" s="81">
        <f t="shared" si="273"/>
        <v>0</v>
      </c>
      <c r="BC70" s="82">
        <f t="shared" si="274"/>
        <v>0</v>
      </c>
      <c r="BD70" s="81">
        <f t="shared" si="275"/>
        <v>0</v>
      </c>
      <c r="BE70" s="82">
        <f t="shared" si="276"/>
        <v>0</v>
      </c>
      <c r="BF70" s="83">
        <f t="shared" si="277"/>
        <v>0</v>
      </c>
      <c r="BG70" s="84">
        <f t="shared" si="278"/>
        <v>0</v>
      </c>
      <c r="BH70" s="109">
        <f>BH69+BF70</f>
        <v>0</v>
      </c>
      <c r="BP70" s="113"/>
    </row>
    <row r="71" spans="1:70" s="8" customFormat="1" ht="14.25" customHeight="1" thickBot="1" x14ac:dyDescent="0.25">
      <c r="A71" s="493" t="s">
        <v>37</v>
      </c>
      <c r="B71" s="492">
        <v>46079</v>
      </c>
      <c r="C71" s="489"/>
      <c r="D71" s="74"/>
      <c r="E71" s="74"/>
      <c r="F71" s="510">
        <v>0</v>
      </c>
      <c r="G71" s="509">
        <v>0</v>
      </c>
      <c r="H71" s="75"/>
      <c r="I71" s="76">
        <f t="shared" si="257"/>
        <v>0</v>
      </c>
      <c r="J71" s="48">
        <v>0</v>
      </c>
      <c r="K71" s="49">
        <v>0</v>
      </c>
      <c r="L71" s="49">
        <v>0</v>
      </c>
      <c r="M71" s="49">
        <v>0</v>
      </c>
      <c r="N71" s="49">
        <v>0</v>
      </c>
      <c r="O71" s="49"/>
      <c r="P71" s="49">
        <v>0</v>
      </c>
      <c r="Q71" s="51">
        <v>0</v>
      </c>
      <c r="R71" s="52">
        <f t="shared" si="279"/>
        <v>0</v>
      </c>
      <c r="S71" s="116"/>
      <c r="T71" s="48">
        <v>0</v>
      </c>
      <c r="U71" s="49">
        <v>0</v>
      </c>
      <c r="V71" s="49">
        <v>0</v>
      </c>
      <c r="W71" s="49">
        <v>0</v>
      </c>
      <c r="X71" s="49">
        <v>0</v>
      </c>
      <c r="Y71" s="49"/>
      <c r="Z71" s="49">
        <v>0</v>
      </c>
      <c r="AA71" s="51">
        <v>0</v>
      </c>
      <c r="AB71" s="53">
        <f t="shared" si="280"/>
        <v>0</v>
      </c>
      <c r="AC71" s="54"/>
      <c r="AD71" s="55">
        <f t="shared" si="258"/>
        <v>0</v>
      </c>
      <c r="AE71" s="50">
        <f t="shared" si="259"/>
        <v>0</v>
      </c>
      <c r="AF71" s="50">
        <f t="shared" si="260"/>
        <v>0</v>
      </c>
      <c r="AG71" s="50"/>
      <c r="AH71" s="56">
        <f t="shared" si="261"/>
        <v>0</v>
      </c>
      <c r="AI71" s="57">
        <f t="shared" si="262"/>
        <v>0</v>
      </c>
      <c r="AJ71" s="58">
        <f t="shared" si="263"/>
        <v>0</v>
      </c>
      <c r="AK71" s="59">
        <f t="shared" si="264"/>
        <v>0</v>
      </c>
      <c r="AL71" s="60">
        <f t="shared" si="265"/>
        <v>0</v>
      </c>
      <c r="AM71" s="61">
        <f t="shared" si="266"/>
        <v>0</v>
      </c>
      <c r="AN71" s="61"/>
      <c r="AO71" s="62">
        <f t="shared" si="267"/>
        <v>0</v>
      </c>
      <c r="AP71" s="63">
        <f t="shared" si="268"/>
        <v>0</v>
      </c>
      <c r="AQ71" s="64">
        <f t="shared" si="269"/>
        <v>0</v>
      </c>
      <c r="AR71" s="86">
        <v>0.28299999999999997</v>
      </c>
      <c r="AS71" s="78">
        <f>AS70+AP71</f>
        <v>0</v>
      </c>
      <c r="AV71" s="79" t="s">
        <v>37</v>
      </c>
      <c r="AW71" s="80">
        <f t="shared" si="270"/>
        <v>46079</v>
      </c>
      <c r="AX71" s="68">
        <f t="shared" si="281"/>
        <v>0</v>
      </c>
      <c r="AY71" s="68">
        <f t="shared" si="271"/>
        <v>0</v>
      </c>
      <c r="AZ71" s="69">
        <f t="shared" si="282"/>
        <v>0</v>
      </c>
      <c r="BA71" s="69">
        <f t="shared" si="272"/>
        <v>0</v>
      </c>
      <c r="BB71" s="81">
        <f t="shared" si="273"/>
        <v>0</v>
      </c>
      <c r="BC71" s="82">
        <f t="shared" si="274"/>
        <v>0</v>
      </c>
      <c r="BD71" s="81">
        <f t="shared" si="275"/>
        <v>0</v>
      </c>
      <c r="BE71" s="82">
        <f t="shared" si="276"/>
        <v>0</v>
      </c>
      <c r="BF71" s="83">
        <f t="shared" si="277"/>
        <v>0</v>
      </c>
      <c r="BG71" s="84">
        <f t="shared" si="278"/>
        <v>0</v>
      </c>
      <c r="BH71" s="85">
        <f>BH70+BF71</f>
        <v>0</v>
      </c>
      <c r="BP71" s="12"/>
    </row>
    <row r="72" spans="1:70" s="8" customFormat="1" ht="14.25" customHeight="1" thickBot="1" x14ac:dyDescent="0.25">
      <c r="A72" s="493" t="s">
        <v>38</v>
      </c>
      <c r="B72" s="492">
        <v>46080</v>
      </c>
      <c r="C72" s="489"/>
      <c r="D72" s="74"/>
      <c r="E72" s="74"/>
      <c r="F72" s="510">
        <v>0</v>
      </c>
      <c r="G72" s="509">
        <v>0</v>
      </c>
      <c r="H72" s="75"/>
      <c r="I72" s="76">
        <f t="shared" si="257"/>
        <v>0</v>
      </c>
      <c r="J72" s="48">
        <v>0</v>
      </c>
      <c r="K72" s="49">
        <v>0</v>
      </c>
      <c r="L72" s="49">
        <v>0</v>
      </c>
      <c r="M72" s="49">
        <v>0</v>
      </c>
      <c r="N72" s="49">
        <v>0</v>
      </c>
      <c r="O72" s="49"/>
      <c r="P72" s="49">
        <v>0</v>
      </c>
      <c r="Q72" s="51">
        <v>0</v>
      </c>
      <c r="R72" s="52">
        <f t="shared" si="279"/>
        <v>0</v>
      </c>
      <c r="S72" s="116"/>
      <c r="T72" s="48">
        <v>0</v>
      </c>
      <c r="U72" s="49">
        <v>0</v>
      </c>
      <c r="V72" s="49">
        <v>0</v>
      </c>
      <c r="W72" s="49">
        <v>0</v>
      </c>
      <c r="X72" s="49">
        <v>0</v>
      </c>
      <c r="Y72" s="49"/>
      <c r="Z72" s="49">
        <v>0</v>
      </c>
      <c r="AA72" s="51">
        <v>0</v>
      </c>
      <c r="AB72" s="53">
        <f t="shared" si="280"/>
        <v>0</v>
      </c>
      <c r="AC72" s="54"/>
      <c r="AD72" s="55">
        <f t="shared" si="258"/>
        <v>0</v>
      </c>
      <c r="AE72" s="50">
        <f t="shared" si="259"/>
        <v>0</v>
      </c>
      <c r="AF72" s="50">
        <f t="shared" si="260"/>
        <v>0</v>
      </c>
      <c r="AG72" s="50"/>
      <c r="AH72" s="56">
        <f t="shared" si="261"/>
        <v>0</v>
      </c>
      <c r="AI72" s="57">
        <f t="shared" si="262"/>
        <v>0</v>
      </c>
      <c r="AJ72" s="58">
        <f t="shared" si="263"/>
        <v>0</v>
      </c>
      <c r="AK72" s="59">
        <f t="shared" si="264"/>
        <v>0</v>
      </c>
      <c r="AL72" s="60">
        <f t="shared" si="265"/>
        <v>0</v>
      </c>
      <c r="AM72" s="61">
        <f t="shared" si="266"/>
        <v>0</v>
      </c>
      <c r="AN72" s="61"/>
      <c r="AO72" s="62">
        <f t="shared" si="267"/>
        <v>0</v>
      </c>
      <c r="AP72" s="63">
        <f t="shared" si="268"/>
        <v>0</v>
      </c>
      <c r="AQ72" s="64">
        <f t="shared" si="269"/>
        <v>0</v>
      </c>
      <c r="AR72" s="87" t="s">
        <v>39</v>
      </c>
      <c r="AS72" s="78">
        <f>AS71+AP72</f>
        <v>0</v>
      </c>
      <c r="AV72" s="79" t="s">
        <v>38</v>
      </c>
      <c r="AW72" s="80">
        <f t="shared" si="270"/>
        <v>46080</v>
      </c>
      <c r="AX72" s="68">
        <f t="shared" si="281"/>
        <v>0</v>
      </c>
      <c r="AY72" s="68">
        <f t="shared" si="271"/>
        <v>0</v>
      </c>
      <c r="AZ72" s="69">
        <f t="shared" si="282"/>
        <v>0</v>
      </c>
      <c r="BA72" s="69">
        <f t="shared" si="272"/>
        <v>0</v>
      </c>
      <c r="BB72" s="81">
        <f t="shared" si="273"/>
        <v>0</v>
      </c>
      <c r="BC72" s="82">
        <f t="shared" si="274"/>
        <v>0</v>
      </c>
      <c r="BD72" s="81">
        <f t="shared" si="275"/>
        <v>0</v>
      </c>
      <c r="BE72" s="82">
        <f t="shared" si="276"/>
        <v>0</v>
      </c>
      <c r="BF72" s="83">
        <f t="shared" si="277"/>
        <v>0</v>
      </c>
      <c r="BG72" s="84">
        <f t="shared" si="278"/>
        <v>0</v>
      </c>
      <c r="BH72" s="85">
        <f>BH71+BF72</f>
        <v>0</v>
      </c>
      <c r="BP72" s="12"/>
      <c r="BR72" s="88"/>
    </row>
    <row r="73" spans="1:70" s="8" customFormat="1" ht="14.25" customHeight="1" thickBot="1" x14ac:dyDescent="0.25">
      <c r="A73" s="493" t="s">
        <v>40</v>
      </c>
      <c r="B73" s="492">
        <v>46081</v>
      </c>
      <c r="C73" s="489"/>
      <c r="D73" s="74"/>
      <c r="E73" s="74"/>
      <c r="F73" s="510">
        <v>0</v>
      </c>
      <c r="G73" s="509">
        <v>0</v>
      </c>
      <c r="H73" s="75"/>
      <c r="I73" s="76">
        <f t="shared" si="257"/>
        <v>0</v>
      </c>
      <c r="J73" s="48">
        <v>0</v>
      </c>
      <c r="K73" s="49">
        <v>0</v>
      </c>
      <c r="L73" s="49">
        <v>0</v>
      </c>
      <c r="M73" s="49">
        <v>0</v>
      </c>
      <c r="N73" s="49">
        <v>0</v>
      </c>
      <c r="O73" s="49"/>
      <c r="P73" s="49">
        <v>0</v>
      </c>
      <c r="Q73" s="51">
        <v>0</v>
      </c>
      <c r="R73" s="52">
        <f>Q73-J73-K73-N73-O73</f>
        <v>0</v>
      </c>
      <c r="S73" s="116"/>
      <c r="T73" s="48">
        <v>0</v>
      </c>
      <c r="U73" s="49">
        <v>0</v>
      </c>
      <c r="V73" s="49">
        <v>0</v>
      </c>
      <c r="W73" s="49">
        <v>0</v>
      </c>
      <c r="X73" s="49">
        <v>0</v>
      </c>
      <c r="Y73" s="49"/>
      <c r="Z73" s="49">
        <v>0</v>
      </c>
      <c r="AA73" s="51">
        <v>0</v>
      </c>
      <c r="AB73" s="53">
        <f t="shared" si="280"/>
        <v>0</v>
      </c>
      <c r="AC73" s="54"/>
      <c r="AD73" s="55">
        <f t="shared" si="258"/>
        <v>0</v>
      </c>
      <c r="AE73" s="50">
        <f t="shared" si="259"/>
        <v>0</v>
      </c>
      <c r="AF73" s="50">
        <f t="shared" si="260"/>
        <v>0</v>
      </c>
      <c r="AG73" s="50"/>
      <c r="AH73" s="56">
        <f t="shared" si="261"/>
        <v>0</v>
      </c>
      <c r="AI73" s="57">
        <f t="shared" si="262"/>
        <v>0</v>
      </c>
      <c r="AJ73" s="58">
        <f t="shared" si="263"/>
        <v>0</v>
      </c>
      <c r="AK73" s="59">
        <f t="shared" si="264"/>
        <v>0</v>
      </c>
      <c r="AL73" s="60">
        <f t="shared" si="265"/>
        <v>0</v>
      </c>
      <c r="AM73" s="61">
        <f t="shared" si="266"/>
        <v>0</v>
      </c>
      <c r="AN73" s="61"/>
      <c r="AO73" s="62">
        <f t="shared" si="267"/>
        <v>0</v>
      </c>
      <c r="AP73" s="63">
        <f t="shared" si="268"/>
        <v>0</v>
      </c>
      <c r="AQ73" s="64">
        <f t="shared" si="269"/>
        <v>0</v>
      </c>
      <c r="AR73" s="89"/>
      <c r="AS73" s="78">
        <f>AS72+AP73</f>
        <v>0</v>
      </c>
      <c r="AV73" s="79" t="s">
        <v>40</v>
      </c>
      <c r="AW73" s="80">
        <f t="shared" si="270"/>
        <v>46081</v>
      </c>
      <c r="AX73" s="68">
        <f t="shared" si="281"/>
        <v>0</v>
      </c>
      <c r="AY73" s="68">
        <f t="shared" si="271"/>
        <v>0</v>
      </c>
      <c r="AZ73" s="69">
        <f t="shared" si="282"/>
        <v>0</v>
      </c>
      <c r="BA73" s="69">
        <f t="shared" si="272"/>
        <v>0</v>
      </c>
      <c r="BB73" s="81">
        <f t="shared" si="273"/>
        <v>0</v>
      </c>
      <c r="BC73" s="82">
        <f t="shared" si="274"/>
        <v>0</v>
      </c>
      <c r="BD73" s="81">
        <f t="shared" si="275"/>
        <v>0</v>
      </c>
      <c r="BE73" s="82">
        <f t="shared" si="276"/>
        <v>0</v>
      </c>
      <c r="BF73" s="83">
        <f t="shared" si="277"/>
        <v>0</v>
      </c>
      <c r="BG73" s="84">
        <f t="shared" si="278"/>
        <v>0</v>
      </c>
      <c r="BH73" s="85">
        <f>BH72+BF73</f>
        <v>0</v>
      </c>
      <c r="BP73" s="12"/>
    </row>
    <row r="74" spans="1:70" s="8" customFormat="1" ht="14.25" customHeight="1" x14ac:dyDescent="0.2">
      <c r="A74" s="493" t="s">
        <v>41</v>
      </c>
      <c r="B74" s="492">
        <v>46082</v>
      </c>
      <c r="C74" s="489"/>
      <c r="D74" s="74"/>
      <c r="E74" s="74"/>
      <c r="F74" s="510">
        <v>0</v>
      </c>
      <c r="G74" s="509">
        <v>0</v>
      </c>
      <c r="H74" s="75"/>
      <c r="I74" s="76">
        <f t="shared" si="257"/>
        <v>0</v>
      </c>
      <c r="J74" s="48">
        <v>0</v>
      </c>
      <c r="K74" s="49">
        <v>0</v>
      </c>
      <c r="L74" s="49">
        <v>0</v>
      </c>
      <c r="M74" s="49">
        <v>0</v>
      </c>
      <c r="N74" s="49">
        <v>0</v>
      </c>
      <c r="O74" s="49"/>
      <c r="P74" s="49">
        <v>0</v>
      </c>
      <c r="Q74" s="51">
        <v>0</v>
      </c>
      <c r="R74" s="52">
        <f t="shared" ref="R74" si="283">Q74-J74-K74-N74-O74</f>
        <v>0</v>
      </c>
      <c r="S74" s="116"/>
      <c r="T74" s="48">
        <v>0</v>
      </c>
      <c r="U74" s="49">
        <v>0</v>
      </c>
      <c r="V74" s="49">
        <v>0</v>
      </c>
      <c r="W74" s="49">
        <v>0</v>
      </c>
      <c r="X74" s="49">
        <v>0</v>
      </c>
      <c r="Y74" s="49"/>
      <c r="Z74" s="49">
        <v>0</v>
      </c>
      <c r="AA74" s="51">
        <v>0</v>
      </c>
      <c r="AB74" s="53">
        <f t="shared" si="280"/>
        <v>0</v>
      </c>
      <c r="AC74" s="54"/>
      <c r="AD74" s="55">
        <f t="shared" si="258"/>
        <v>0</v>
      </c>
      <c r="AE74" s="50">
        <f t="shared" si="259"/>
        <v>0</v>
      </c>
      <c r="AF74" s="50">
        <f t="shared" si="260"/>
        <v>0</v>
      </c>
      <c r="AG74" s="50"/>
      <c r="AH74" s="56">
        <f t="shared" si="261"/>
        <v>0</v>
      </c>
      <c r="AI74" s="57">
        <f t="shared" si="262"/>
        <v>0</v>
      </c>
      <c r="AJ74" s="58">
        <f t="shared" si="263"/>
        <v>0</v>
      </c>
      <c r="AK74" s="59">
        <f t="shared" si="264"/>
        <v>0</v>
      </c>
      <c r="AL74" s="60">
        <f t="shared" si="265"/>
        <v>0</v>
      </c>
      <c r="AM74" s="61">
        <f t="shared" si="266"/>
        <v>0</v>
      </c>
      <c r="AN74" s="61"/>
      <c r="AO74" s="62">
        <f t="shared" si="267"/>
        <v>0</v>
      </c>
      <c r="AP74" s="63">
        <f t="shared" si="268"/>
        <v>0</v>
      </c>
      <c r="AQ74" s="64">
        <f t="shared" si="269"/>
        <v>0</v>
      </c>
      <c r="AR74" s="90">
        <f>AR73-AM75</f>
        <v>0</v>
      </c>
      <c r="AS74" s="78">
        <f>AS73+AP74</f>
        <v>0</v>
      </c>
      <c r="AV74" s="79" t="s">
        <v>41</v>
      </c>
      <c r="AW74" s="80">
        <f t="shared" si="270"/>
        <v>46082</v>
      </c>
      <c r="AX74" s="68">
        <f t="shared" si="281"/>
        <v>0</v>
      </c>
      <c r="AY74" s="68">
        <f t="shared" si="271"/>
        <v>0</v>
      </c>
      <c r="AZ74" s="69">
        <f t="shared" si="282"/>
        <v>0</v>
      </c>
      <c r="BA74" s="69">
        <f t="shared" si="272"/>
        <v>0</v>
      </c>
      <c r="BB74" s="81">
        <f t="shared" si="273"/>
        <v>0</v>
      </c>
      <c r="BC74" s="82">
        <f t="shared" si="274"/>
        <v>0</v>
      </c>
      <c r="BD74" s="81">
        <f t="shared" si="275"/>
        <v>0</v>
      </c>
      <c r="BE74" s="82">
        <f t="shared" si="276"/>
        <v>0</v>
      </c>
      <c r="BF74" s="83">
        <f t="shared" si="277"/>
        <v>0</v>
      </c>
      <c r="BG74" s="84">
        <f t="shared" si="278"/>
        <v>0</v>
      </c>
      <c r="BH74" s="85">
        <f>BH73+BF74</f>
        <v>0</v>
      </c>
      <c r="BP74" s="12"/>
    </row>
    <row r="75" spans="1:70" s="105" customFormat="1" ht="14.25" customHeight="1" thickBot="1" x14ac:dyDescent="0.25">
      <c r="A75" s="495" t="s">
        <v>42</v>
      </c>
      <c r="B75" s="496"/>
      <c r="C75" s="490">
        <f>SUM(C68:C74)</f>
        <v>0</v>
      </c>
      <c r="D75" s="93">
        <f>SUM(D68:D74)</f>
        <v>0</v>
      </c>
      <c r="E75" s="14">
        <f>SUM(E68:E74)</f>
        <v>0</v>
      </c>
      <c r="F75" s="523">
        <f>SUM(I68:I74)</f>
        <v>0</v>
      </c>
      <c r="G75" s="524"/>
      <c r="H75" s="524"/>
      <c r="I75" s="387">
        <f>SUM(C75:H75)</f>
        <v>0</v>
      </c>
      <c r="J75" s="94">
        <f t="shared" ref="J75:N75" si="284">SUM(J68:J74)</f>
        <v>0</v>
      </c>
      <c r="K75" s="95">
        <f t="shared" si="284"/>
        <v>0</v>
      </c>
      <c r="L75" s="95">
        <f t="shared" si="284"/>
        <v>0</v>
      </c>
      <c r="M75" s="95">
        <f t="shared" si="284"/>
        <v>0</v>
      </c>
      <c r="N75" s="95">
        <f t="shared" si="284"/>
        <v>0</v>
      </c>
      <c r="O75" s="95"/>
      <c r="P75" s="95">
        <f t="shared" ref="P75:R75" si="285">SUM(P68:P74)</f>
        <v>0</v>
      </c>
      <c r="Q75" s="96">
        <f t="shared" si="285"/>
        <v>0</v>
      </c>
      <c r="R75" s="97">
        <f t="shared" si="285"/>
        <v>0</v>
      </c>
      <c r="S75" s="117"/>
      <c r="T75" s="94">
        <f t="shared" ref="T75:X75" si="286">SUM(T68:T74)</f>
        <v>0</v>
      </c>
      <c r="U75" s="95">
        <f t="shared" si="286"/>
        <v>0</v>
      </c>
      <c r="V75" s="95">
        <f t="shared" si="286"/>
        <v>0</v>
      </c>
      <c r="W75" s="95">
        <f t="shared" si="286"/>
        <v>0</v>
      </c>
      <c r="X75" s="95">
        <f t="shared" si="286"/>
        <v>0</v>
      </c>
      <c r="Y75" s="95"/>
      <c r="Z75" s="95">
        <f t="shared" ref="Z75:AA75" si="287">SUM(Z68:Z74)</f>
        <v>0</v>
      </c>
      <c r="AA75" s="96">
        <f t="shared" si="287"/>
        <v>0</v>
      </c>
      <c r="AB75" s="98">
        <f>SUM(AB68:AB74)</f>
        <v>0</v>
      </c>
      <c r="AC75" s="99"/>
      <c r="AD75" s="100">
        <f t="shared" ref="AD75:AF75" si="288">SUM(AD68:AD74)</f>
        <v>0</v>
      </c>
      <c r="AE75" s="95">
        <f t="shared" si="288"/>
        <v>0</v>
      </c>
      <c r="AF75" s="95">
        <f t="shared" si="288"/>
        <v>0</v>
      </c>
      <c r="AG75" s="95"/>
      <c r="AH75" s="95">
        <f t="shared" ref="AH75:AM75" si="289">SUM(AH68:AH74)</f>
        <v>0</v>
      </c>
      <c r="AI75" s="95">
        <f t="shared" si="289"/>
        <v>0</v>
      </c>
      <c r="AJ75" s="95">
        <f t="shared" si="289"/>
        <v>0</v>
      </c>
      <c r="AK75" s="101">
        <f t="shared" si="289"/>
        <v>0</v>
      </c>
      <c r="AL75" s="95">
        <f t="shared" si="289"/>
        <v>0</v>
      </c>
      <c r="AM75" s="95">
        <f t="shared" si="289"/>
        <v>0</v>
      </c>
      <c r="AN75" s="95"/>
      <c r="AO75" s="95">
        <f t="shared" ref="AO75:AP75" si="290">SUM(AO68:AO74)</f>
        <v>0</v>
      </c>
      <c r="AP75" s="95">
        <f t="shared" si="290"/>
        <v>0</v>
      </c>
      <c r="AQ75" s="102">
        <f>SUM(AQ68:AQ74)</f>
        <v>0</v>
      </c>
      <c r="AR75" s="103">
        <f>AR74</f>
        <v>0</v>
      </c>
      <c r="AS75" s="104">
        <f>AP75+AR75</f>
        <v>0</v>
      </c>
      <c r="AV75" s="525" t="s">
        <v>42</v>
      </c>
      <c r="AW75" s="526"/>
      <c r="AX75" s="95">
        <f t="shared" ref="AX75:BD75" si="291">SUM(AX68:AX74)</f>
        <v>0</v>
      </c>
      <c r="AY75" s="95">
        <f t="shared" si="291"/>
        <v>0</v>
      </c>
      <c r="AZ75" s="95">
        <f t="shared" si="291"/>
        <v>0</v>
      </c>
      <c r="BA75" s="95">
        <f t="shared" si="291"/>
        <v>0</v>
      </c>
      <c r="BB75" s="95">
        <f t="shared" si="291"/>
        <v>0</v>
      </c>
      <c r="BC75" s="95">
        <f t="shared" si="291"/>
        <v>0</v>
      </c>
      <c r="BD75" s="95">
        <f t="shared" si="291"/>
        <v>0</v>
      </c>
      <c r="BE75" s="95">
        <f>SUM(BE68:BE74)</f>
        <v>0</v>
      </c>
      <c r="BF75" s="95">
        <f t="shared" ref="BF75:BG75" si="292">SUM(BF68:BF74)</f>
        <v>0</v>
      </c>
      <c r="BG75" s="95">
        <f t="shared" si="292"/>
        <v>0</v>
      </c>
      <c r="BP75" s="106"/>
    </row>
  </sheetData>
  <mergeCells count="22">
    <mergeCell ref="F42:H42"/>
    <mergeCell ref="AV42:AW42"/>
    <mergeCell ref="F51:H51"/>
    <mergeCell ref="AV51:AW51"/>
    <mergeCell ref="AD1:AQ1"/>
    <mergeCell ref="AV18:AW18"/>
    <mergeCell ref="AV26:AW26"/>
    <mergeCell ref="AV34:AW34"/>
    <mergeCell ref="F18:H18"/>
    <mergeCell ref="F26:H26"/>
    <mergeCell ref="F34:H34"/>
    <mergeCell ref="J1:Q1"/>
    <mergeCell ref="F2:H2"/>
    <mergeCell ref="AV10:AW10"/>
    <mergeCell ref="S1:AB1"/>
    <mergeCell ref="F10:H10"/>
    <mergeCell ref="F59:H59"/>
    <mergeCell ref="AV59:AW59"/>
    <mergeCell ref="F67:H67"/>
    <mergeCell ref="AV67:AW67"/>
    <mergeCell ref="F75:H75"/>
    <mergeCell ref="AV75:AW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74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B174" sqref="AB174"/>
    </sheetView>
  </sheetViews>
  <sheetFormatPr defaultRowHeight="14.25" x14ac:dyDescent="0.2"/>
  <cols>
    <col min="12" max="12" width="11" bestFit="1" customWidth="1"/>
    <col min="14" max="14" width="11" bestFit="1" customWidth="1"/>
    <col min="16" max="16" width="11.25" bestFit="1" customWidth="1"/>
    <col min="17" max="17" width="11" bestFit="1" customWidth="1"/>
    <col min="18" max="19" width="13.5" bestFit="1" customWidth="1"/>
    <col min="20" max="20" width="11" bestFit="1" customWidth="1"/>
    <col min="21" max="21" width="14.75" bestFit="1" customWidth="1"/>
    <col min="22" max="22" width="23.75" customWidth="1"/>
    <col min="28" max="28" width="11.5" bestFit="1" customWidth="1"/>
  </cols>
  <sheetData>
    <row r="1" spans="1:29" x14ac:dyDescent="0.2">
      <c r="A1" s="551" t="s">
        <v>46</v>
      </c>
      <c r="B1" s="551"/>
    </row>
    <row r="2" spans="1:29" s="8" customFormat="1" ht="16.5" customHeight="1" x14ac:dyDescent="0.2">
      <c r="A2" s="553" t="s">
        <v>86</v>
      </c>
      <c r="B2" s="554"/>
      <c r="C2" s="547" t="s">
        <v>34</v>
      </c>
      <c r="D2" s="547"/>
      <c r="E2" s="547" t="s">
        <v>35</v>
      </c>
      <c r="F2" s="547"/>
      <c r="G2" s="547" t="s">
        <v>36</v>
      </c>
      <c r="H2" s="547"/>
      <c r="I2" s="547" t="s">
        <v>37</v>
      </c>
      <c r="J2" s="547"/>
      <c r="K2" s="547" t="s">
        <v>38</v>
      </c>
      <c r="L2" s="547"/>
      <c r="M2" s="547" t="s">
        <v>40</v>
      </c>
      <c r="N2" s="547"/>
      <c r="O2" s="547" t="s">
        <v>41</v>
      </c>
      <c r="P2" s="547"/>
      <c r="T2" s="119"/>
    </row>
    <row r="3" spans="1:29" s="8" customFormat="1" ht="16.5" customHeight="1" x14ac:dyDescent="0.2">
      <c r="A3" s="120"/>
      <c r="B3" s="121" t="s">
        <v>47</v>
      </c>
      <c r="C3" s="548">
        <v>46020</v>
      </c>
      <c r="D3" s="549"/>
      <c r="E3" s="548">
        <v>46021</v>
      </c>
      <c r="F3" s="549"/>
      <c r="G3" s="548">
        <v>46022</v>
      </c>
      <c r="H3" s="549"/>
      <c r="I3" s="548">
        <v>46023</v>
      </c>
      <c r="J3" s="549"/>
      <c r="K3" s="548">
        <v>46024</v>
      </c>
      <c r="L3" s="549"/>
      <c r="M3" s="548">
        <v>46025</v>
      </c>
      <c r="N3" s="549"/>
      <c r="O3" s="548">
        <v>46026</v>
      </c>
      <c r="P3" s="549"/>
      <c r="Q3" s="122"/>
      <c r="R3" s="123"/>
      <c r="S3" s="124"/>
      <c r="U3" s="119"/>
    </row>
    <row r="4" spans="1:29" s="8" customFormat="1" ht="16.5" customHeight="1" x14ac:dyDescent="0.2">
      <c r="A4" s="120"/>
      <c r="B4" s="120" t="s">
        <v>48</v>
      </c>
      <c r="C4" s="125" t="s">
        <v>4</v>
      </c>
      <c r="D4" s="125" t="s">
        <v>5</v>
      </c>
      <c r="E4" s="125" t="s">
        <v>4</v>
      </c>
      <c r="F4" s="125" t="s">
        <v>5</v>
      </c>
      <c r="G4" s="125" t="s">
        <v>4</v>
      </c>
      <c r="H4" s="125" t="s">
        <v>5</v>
      </c>
      <c r="I4" s="125" t="s">
        <v>4</v>
      </c>
      <c r="J4" s="125" t="s">
        <v>5</v>
      </c>
      <c r="K4" s="125" t="s">
        <v>4</v>
      </c>
      <c r="L4" s="125" t="s">
        <v>5</v>
      </c>
      <c r="M4" s="125" t="s">
        <v>4</v>
      </c>
      <c r="N4" s="125" t="s">
        <v>5</v>
      </c>
      <c r="O4" s="125" t="s">
        <v>4</v>
      </c>
      <c r="P4" s="125" t="s">
        <v>5</v>
      </c>
      <c r="Q4" s="126" t="s">
        <v>49</v>
      </c>
      <c r="R4" s="123" t="s">
        <v>50</v>
      </c>
      <c r="S4" s="127" t="s">
        <v>51</v>
      </c>
      <c r="T4" s="128" t="s">
        <v>52</v>
      </c>
      <c r="U4" s="129" t="s">
        <v>53</v>
      </c>
    </row>
    <row r="5" spans="1:29" s="8" customFormat="1" ht="16.5" customHeight="1" x14ac:dyDescent="0.2">
      <c r="A5" s="130" t="s">
        <v>54</v>
      </c>
      <c r="B5" s="131">
        <v>250</v>
      </c>
      <c r="C5" s="132"/>
      <c r="D5" s="133"/>
      <c r="E5" s="133"/>
      <c r="F5" s="133"/>
      <c r="G5" s="134"/>
      <c r="H5" s="134"/>
      <c r="I5" s="361"/>
      <c r="J5" s="361"/>
      <c r="K5" s="361"/>
      <c r="L5" s="133"/>
      <c r="M5" s="133"/>
      <c r="N5" s="133"/>
      <c r="O5" s="133"/>
      <c r="P5" s="133"/>
      <c r="Q5" s="135">
        <v>250</v>
      </c>
      <c r="R5" s="136">
        <f>SUM(C5:Q5)</f>
        <v>250</v>
      </c>
      <c r="S5" s="123"/>
      <c r="T5" s="137"/>
      <c r="U5" s="138">
        <f t="shared" ref="U5:U11" si="0">R5-S5-T5</f>
        <v>250</v>
      </c>
      <c r="V5" s="139"/>
      <c r="W5" s="110"/>
      <c r="X5" s="110"/>
      <c r="Y5" s="110"/>
      <c r="Z5" s="110"/>
      <c r="AA5" s="110"/>
      <c r="AB5" s="110"/>
    </row>
    <row r="6" spans="1:29" s="147" customFormat="1" ht="16.5" customHeight="1" x14ac:dyDescent="0.2">
      <c r="A6" s="130" t="s">
        <v>55</v>
      </c>
      <c r="B6" s="330" t="s">
        <v>87</v>
      </c>
      <c r="C6" s="140">
        <v>120</v>
      </c>
      <c r="D6" s="141">
        <v>130</v>
      </c>
      <c r="E6" s="133"/>
      <c r="F6" s="141">
        <v>130</v>
      </c>
      <c r="G6" s="142"/>
      <c r="H6" s="142"/>
      <c r="I6" s="362"/>
      <c r="J6" s="362"/>
      <c r="K6" s="362"/>
      <c r="L6" s="141">
        <v>130</v>
      </c>
      <c r="M6" s="140">
        <v>120</v>
      </c>
      <c r="N6" s="141">
        <v>130</v>
      </c>
      <c r="O6" s="140">
        <v>120</v>
      </c>
      <c r="P6" s="141">
        <v>130</v>
      </c>
      <c r="Q6" s="135"/>
      <c r="R6" s="136">
        <f>SUM(C6:Q6)</f>
        <v>1010</v>
      </c>
      <c r="S6" s="143">
        <v>962</v>
      </c>
      <c r="T6" s="137"/>
      <c r="U6" s="138">
        <f t="shared" si="0"/>
        <v>48</v>
      </c>
      <c r="V6" s="550"/>
      <c r="W6" s="541"/>
      <c r="X6" s="541"/>
      <c r="Y6" s="541"/>
      <c r="Z6" s="144"/>
      <c r="AA6" s="145"/>
      <c r="AB6" s="146"/>
    </row>
    <row r="7" spans="1:29" s="147" customFormat="1" ht="16.5" customHeight="1" x14ac:dyDescent="0.2">
      <c r="A7" s="130" t="s">
        <v>56</v>
      </c>
      <c r="B7" s="330" t="s">
        <v>88</v>
      </c>
      <c r="C7" s="148">
        <v>115</v>
      </c>
      <c r="D7" s="141">
        <v>125</v>
      </c>
      <c r="E7" s="148">
        <v>115</v>
      </c>
      <c r="F7" s="141">
        <v>125</v>
      </c>
      <c r="G7" s="148">
        <v>115</v>
      </c>
      <c r="H7" s="141">
        <v>125</v>
      </c>
      <c r="I7" s="363"/>
      <c r="J7" s="364"/>
      <c r="K7" s="365"/>
      <c r="L7" s="141">
        <v>125</v>
      </c>
      <c r="M7" s="148">
        <v>115</v>
      </c>
      <c r="N7" s="141">
        <v>125</v>
      </c>
      <c r="O7" s="149"/>
      <c r="P7" s="150"/>
      <c r="Q7" s="151"/>
      <c r="R7" s="136">
        <f>SUM(C7:Q7)</f>
        <v>1085</v>
      </c>
      <c r="S7" s="152"/>
      <c r="T7" s="137"/>
      <c r="U7" s="138">
        <f t="shared" si="0"/>
        <v>1085</v>
      </c>
      <c r="V7" s="153" t="s">
        <v>57</v>
      </c>
      <c r="W7" s="153"/>
      <c r="X7" s="154">
        <f>U7-463</f>
        <v>622</v>
      </c>
      <c r="Y7" s="155"/>
      <c r="Z7" s="144"/>
      <c r="AA7" s="145"/>
      <c r="AB7" s="145"/>
    </row>
    <row r="8" spans="1:29" s="8" customFormat="1" ht="16.5" customHeight="1" x14ac:dyDescent="0.2">
      <c r="A8" s="156" t="s">
        <v>58</v>
      </c>
      <c r="B8" s="330" t="s">
        <v>64</v>
      </c>
      <c r="C8" s="157">
        <v>95</v>
      </c>
      <c r="D8" s="158">
        <v>120</v>
      </c>
      <c r="E8" s="159">
        <v>95</v>
      </c>
      <c r="F8" s="158">
        <v>120</v>
      </c>
      <c r="G8" s="159">
        <v>95</v>
      </c>
      <c r="H8" s="158">
        <v>120</v>
      </c>
      <c r="I8" s="366"/>
      <c r="J8" s="367"/>
      <c r="K8" s="382"/>
      <c r="L8" s="158">
        <v>120</v>
      </c>
      <c r="M8" s="160"/>
      <c r="N8" s="160"/>
      <c r="O8" s="160"/>
      <c r="P8" s="160"/>
      <c r="Q8" s="161"/>
      <c r="R8" s="136">
        <f>SUM(C8:Q8)</f>
        <v>765</v>
      </c>
      <c r="S8" s="143">
        <v>1145</v>
      </c>
      <c r="T8" s="162"/>
      <c r="U8" s="163">
        <f t="shared" si="0"/>
        <v>-380</v>
      </c>
      <c r="V8" s="536" t="s">
        <v>60</v>
      </c>
      <c r="W8" s="537"/>
      <c r="X8" s="537"/>
      <c r="Y8" s="164"/>
      <c r="Z8" s="110"/>
      <c r="AA8" s="110"/>
      <c r="AB8" s="165"/>
      <c r="AC8" s="110"/>
    </row>
    <row r="9" spans="1:29" s="8" customFormat="1" ht="16.5" customHeight="1" x14ac:dyDescent="0.2">
      <c r="A9" s="156" t="s">
        <v>61</v>
      </c>
      <c r="B9" s="330" t="s">
        <v>59</v>
      </c>
      <c r="C9" s="166">
        <v>90</v>
      </c>
      <c r="D9" s="133"/>
      <c r="E9" s="133"/>
      <c r="F9" s="158">
        <v>115</v>
      </c>
      <c r="G9" s="134"/>
      <c r="H9" s="158">
        <v>115</v>
      </c>
      <c r="I9" s="361"/>
      <c r="J9" s="367"/>
      <c r="K9" s="368"/>
      <c r="L9" s="158">
        <v>115</v>
      </c>
      <c r="M9" s="166">
        <v>90</v>
      </c>
      <c r="N9" s="158">
        <v>115</v>
      </c>
      <c r="O9" s="166">
        <v>90</v>
      </c>
      <c r="P9" s="141">
        <v>115</v>
      </c>
      <c r="Q9" s="135"/>
      <c r="R9" s="136">
        <f>SUM(C9:Q9)</f>
        <v>845</v>
      </c>
      <c r="S9" s="127"/>
      <c r="T9" s="167"/>
      <c r="U9" s="138">
        <f t="shared" si="0"/>
        <v>845</v>
      </c>
      <c r="W9" s="110"/>
      <c r="X9" s="110"/>
      <c r="Y9" s="110"/>
      <c r="Z9" s="110"/>
      <c r="AA9" s="110"/>
      <c r="AB9" s="110"/>
    </row>
    <row r="10" spans="1:29" s="8" customFormat="1" ht="16.5" customHeight="1" x14ac:dyDescent="0.2">
      <c r="A10" s="168" t="s">
        <v>63</v>
      </c>
      <c r="B10" s="331" t="s">
        <v>89</v>
      </c>
      <c r="C10" s="169"/>
      <c r="D10" s="160"/>
      <c r="E10" s="132"/>
      <c r="G10" s="134"/>
      <c r="H10" s="170">
        <v>120</v>
      </c>
      <c r="I10" s="364"/>
      <c r="J10" s="354"/>
      <c r="K10" s="369"/>
      <c r="L10" s="171">
        <v>120</v>
      </c>
      <c r="M10" s="172"/>
      <c r="N10" s="158">
        <v>120</v>
      </c>
      <c r="O10" s="148">
        <v>100</v>
      </c>
      <c r="P10" s="141">
        <v>120</v>
      </c>
      <c r="Q10" s="135"/>
      <c r="R10" s="136">
        <f t="shared" ref="R10:R14" si="1">SUM(C10:Q10)</f>
        <v>580</v>
      </c>
      <c r="S10" s="143">
        <v>250</v>
      </c>
      <c r="T10" s="137"/>
      <c r="U10" s="138">
        <f t="shared" si="0"/>
        <v>330</v>
      </c>
      <c r="V10" s="538" t="s">
        <v>132</v>
      </c>
      <c r="W10" s="539"/>
      <c r="X10" s="539"/>
      <c r="Y10" s="539"/>
      <c r="Z10" s="173">
        <f>U10-250</f>
        <v>80</v>
      </c>
      <c r="AA10" s="174"/>
      <c r="AB10" s="175"/>
      <c r="AC10" s="165"/>
    </row>
    <row r="11" spans="1:29" s="8" customFormat="1" ht="16.5" customHeight="1" x14ac:dyDescent="0.2">
      <c r="A11" s="156" t="s">
        <v>65</v>
      </c>
      <c r="B11" s="131" t="s">
        <v>62</v>
      </c>
      <c r="C11" s="176"/>
      <c r="D11" s="133"/>
      <c r="E11" s="133"/>
      <c r="F11" s="133"/>
      <c r="G11" s="134"/>
      <c r="H11" s="134"/>
      <c r="I11" s="370"/>
      <c r="J11" s="368"/>
      <c r="K11" s="361"/>
      <c r="L11" s="133"/>
      <c r="M11" s="169"/>
      <c r="N11" s="158">
        <v>115</v>
      </c>
      <c r="O11" s="169"/>
      <c r="P11" s="158">
        <v>115</v>
      </c>
      <c r="Q11" s="177"/>
      <c r="R11" s="136">
        <f t="shared" si="1"/>
        <v>230</v>
      </c>
      <c r="S11" s="178"/>
      <c r="T11" s="137"/>
      <c r="U11" s="138">
        <f t="shared" si="0"/>
        <v>230</v>
      </c>
      <c r="V11" s="110"/>
      <c r="W11" s="110"/>
      <c r="X11" s="165"/>
      <c r="Y11" s="110"/>
      <c r="Z11" s="110"/>
      <c r="AA11" s="110"/>
      <c r="AB11" s="110"/>
    </row>
    <row r="12" spans="1:29" s="8" customFormat="1" ht="16.5" customHeight="1" x14ac:dyDescent="0.2">
      <c r="A12" s="168" t="s">
        <v>66</v>
      </c>
      <c r="B12" s="331" t="s">
        <v>94</v>
      </c>
      <c r="C12" s="132"/>
      <c r="D12" s="132"/>
      <c r="E12" s="132"/>
      <c r="F12" s="132"/>
      <c r="G12" s="132"/>
      <c r="H12" s="132"/>
      <c r="I12" s="371"/>
      <c r="J12" s="371"/>
      <c r="K12" s="371"/>
      <c r="L12" s="132"/>
      <c r="M12" s="132"/>
      <c r="N12" s="132"/>
      <c r="O12" s="132"/>
      <c r="P12" s="132"/>
      <c r="Q12" s="179"/>
      <c r="R12" s="136">
        <f t="shared" si="1"/>
        <v>0</v>
      </c>
      <c r="S12" s="119"/>
      <c r="T12" s="137"/>
      <c r="U12" s="138">
        <f>R12-S12-T12</f>
        <v>0</v>
      </c>
      <c r="V12" s="180"/>
      <c r="W12" s="181"/>
      <c r="X12" s="182"/>
      <c r="Y12" s="181"/>
      <c r="Z12" s="183"/>
      <c r="AA12" s="110"/>
      <c r="AB12" s="110"/>
    </row>
    <row r="13" spans="1:29" x14ac:dyDescent="0.2">
      <c r="A13" s="184" t="s">
        <v>67</v>
      </c>
      <c r="B13" s="185">
        <v>120</v>
      </c>
      <c r="C13" s="186"/>
      <c r="D13" s="186"/>
      <c r="E13" s="186"/>
      <c r="F13" s="186"/>
      <c r="G13" s="186"/>
      <c r="H13" s="187"/>
      <c r="I13" s="372"/>
      <c r="J13" s="372"/>
      <c r="K13" s="372"/>
      <c r="L13" s="171">
        <v>120</v>
      </c>
      <c r="M13" s="187"/>
      <c r="N13" s="186"/>
      <c r="O13" s="188"/>
      <c r="P13" s="189"/>
      <c r="Q13" s="135"/>
      <c r="R13" s="136">
        <f t="shared" si="1"/>
        <v>120</v>
      </c>
      <c r="S13" s="190"/>
      <c r="T13" s="190"/>
      <c r="U13" s="138">
        <f>R13-S13-T13</f>
        <v>120</v>
      </c>
      <c r="X13" s="540"/>
      <c r="Y13" s="540"/>
      <c r="Z13" s="540"/>
      <c r="AA13" s="540"/>
      <c r="AB13" s="118"/>
      <c r="AC13" s="118"/>
    </row>
    <row r="14" spans="1:29" s="8" customFormat="1" ht="16.5" customHeight="1" thickBot="1" x14ac:dyDescent="0.25">
      <c r="A14" s="191" t="s">
        <v>68</v>
      </c>
      <c r="B14" s="192" t="s">
        <v>90</v>
      </c>
      <c r="C14" s="193"/>
      <c r="D14" s="194"/>
      <c r="E14" s="193"/>
      <c r="F14" s="193"/>
      <c r="G14" s="193"/>
      <c r="H14" s="193"/>
      <c r="I14" s="373"/>
      <c r="J14" s="374"/>
      <c r="K14" s="373"/>
      <c r="L14" s="193"/>
      <c r="M14" s="193"/>
      <c r="N14" s="195">
        <v>120</v>
      </c>
      <c r="O14" s="193"/>
      <c r="P14" s="195">
        <v>120</v>
      </c>
      <c r="Q14" s="196"/>
      <c r="R14" s="197">
        <f t="shared" si="1"/>
        <v>240</v>
      </c>
      <c r="S14" s="198"/>
      <c r="T14" s="193"/>
      <c r="U14" s="199">
        <f t="shared" ref="U14:U22" si="2">R14-S14-T14</f>
        <v>240</v>
      </c>
      <c r="V14" s="110"/>
      <c r="W14" s="541"/>
      <c r="X14" s="541"/>
      <c r="Y14" s="110"/>
      <c r="Z14" s="110"/>
      <c r="AA14" s="110"/>
      <c r="AB14" s="110"/>
    </row>
    <row r="15" spans="1:29" s="8" customFormat="1" ht="16.5" customHeight="1" x14ac:dyDescent="0.2">
      <c r="A15" s="200" t="s">
        <v>69</v>
      </c>
      <c r="B15" s="332" t="s">
        <v>91</v>
      </c>
      <c r="C15" s="202"/>
      <c r="D15" s="202"/>
      <c r="E15" s="157">
        <v>110</v>
      </c>
      <c r="F15" s="203">
        <v>130</v>
      </c>
      <c r="G15" s="157">
        <v>110</v>
      </c>
      <c r="H15" s="203">
        <v>104</v>
      </c>
      <c r="I15" s="375"/>
      <c r="J15" s="376"/>
      <c r="K15" s="375"/>
      <c r="L15" s="203">
        <v>117</v>
      </c>
      <c r="M15" s="157">
        <v>110</v>
      </c>
      <c r="N15" s="203">
        <v>130</v>
      </c>
      <c r="O15" s="204"/>
      <c r="P15" s="204"/>
      <c r="Q15" s="205">
        <v>20</v>
      </c>
      <c r="R15" s="206">
        <f>SUM(C15:Q15)</f>
        <v>831</v>
      </c>
      <c r="S15" s="207">
        <v>800</v>
      </c>
      <c r="T15" s="208"/>
      <c r="U15" s="209">
        <f t="shared" si="2"/>
        <v>31</v>
      </c>
      <c r="V15" s="542"/>
      <c r="W15" s="543"/>
      <c r="X15" s="543"/>
      <c r="Y15" s="543"/>
      <c r="Z15" s="175"/>
      <c r="AA15" s="110"/>
      <c r="AB15" s="110"/>
    </row>
    <row r="16" spans="1:29" s="8" customFormat="1" ht="16.5" customHeight="1" x14ac:dyDescent="0.2">
      <c r="A16" s="168" t="s">
        <v>70</v>
      </c>
      <c r="B16" s="331" t="s">
        <v>92</v>
      </c>
      <c r="C16" s="132"/>
      <c r="D16" s="210">
        <v>100</v>
      </c>
      <c r="E16" s="132"/>
      <c r="F16" s="132"/>
      <c r="G16" s="132"/>
      <c r="H16" s="210">
        <v>100</v>
      </c>
      <c r="I16" s="361"/>
      <c r="J16" s="377"/>
      <c r="K16" s="361"/>
      <c r="L16" s="203">
        <v>100</v>
      </c>
      <c r="M16" s="133"/>
      <c r="N16" s="203">
        <v>100</v>
      </c>
      <c r="O16" s="133"/>
      <c r="P16" s="133"/>
      <c r="Q16" s="211"/>
      <c r="R16" s="206">
        <f t="shared" ref="R16:R25" si="3">SUM(C16:Q16)</f>
        <v>400</v>
      </c>
      <c r="S16" s="212"/>
      <c r="T16" s="137"/>
      <c r="U16" s="138">
        <f t="shared" si="2"/>
        <v>400</v>
      </c>
      <c r="W16" s="110"/>
      <c r="X16" s="110"/>
      <c r="Y16" s="110"/>
      <c r="Z16" s="110"/>
      <c r="AA16" s="110"/>
      <c r="AB16" s="110"/>
    </row>
    <row r="17" spans="1:28" s="8" customFormat="1" ht="16.5" customHeight="1" x14ac:dyDescent="0.2">
      <c r="A17" s="200" t="s">
        <v>71</v>
      </c>
      <c r="B17" s="332" t="s">
        <v>92</v>
      </c>
      <c r="C17" s="213"/>
      <c r="D17" s="210">
        <v>100</v>
      </c>
      <c r="E17" s="213"/>
      <c r="F17" s="210">
        <v>78</v>
      </c>
      <c r="G17" s="213"/>
      <c r="H17" s="210">
        <v>100</v>
      </c>
      <c r="I17" s="375"/>
      <c r="J17" s="354"/>
      <c r="K17" s="375"/>
      <c r="L17" s="203">
        <v>100</v>
      </c>
      <c r="M17" s="213"/>
      <c r="N17" s="210">
        <v>100</v>
      </c>
      <c r="O17" s="213"/>
      <c r="P17" s="213"/>
      <c r="Q17" s="201"/>
      <c r="R17" s="206">
        <f t="shared" si="3"/>
        <v>478</v>
      </c>
      <c r="S17" s="212"/>
      <c r="T17" s="208"/>
      <c r="U17" s="209">
        <f t="shared" si="2"/>
        <v>478</v>
      </c>
      <c r="V17" s="146"/>
      <c r="W17" s="145"/>
      <c r="X17" s="214"/>
      <c r="Y17" s="214"/>
      <c r="Z17" s="214"/>
      <c r="AA17" s="110"/>
      <c r="AB17" s="110"/>
    </row>
    <row r="18" spans="1:28" s="8" customFormat="1" ht="16.5" customHeight="1" x14ac:dyDescent="0.2">
      <c r="A18" s="168" t="s">
        <v>72</v>
      </c>
      <c r="B18" s="331" t="s">
        <v>93</v>
      </c>
      <c r="C18" s="213"/>
      <c r="D18" s="210">
        <v>97</v>
      </c>
      <c r="E18" s="132"/>
      <c r="F18" s="132"/>
      <c r="G18" s="132"/>
      <c r="H18" s="210">
        <v>97</v>
      </c>
      <c r="I18" s="371"/>
      <c r="J18" s="371"/>
      <c r="K18" s="375"/>
      <c r="L18" s="210">
        <v>97</v>
      </c>
      <c r="M18" s="215"/>
      <c r="N18" s="215"/>
      <c r="O18" s="157">
        <v>86</v>
      </c>
      <c r="P18" s="210">
        <v>97</v>
      </c>
      <c r="Q18" s="135"/>
      <c r="R18" s="206">
        <f t="shared" si="3"/>
        <v>474</v>
      </c>
      <c r="S18" s="143">
        <v>250</v>
      </c>
      <c r="T18" s="137"/>
      <c r="U18" s="138">
        <f t="shared" si="2"/>
        <v>224</v>
      </c>
      <c r="W18" s="110"/>
      <c r="X18" s="110"/>
      <c r="Y18" s="165"/>
      <c r="Z18" s="110"/>
      <c r="AA18" s="110"/>
      <c r="AB18" s="110"/>
    </row>
    <row r="19" spans="1:28" x14ac:dyDescent="0.2">
      <c r="A19" s="216" t="s">
        <v>74</v>
      </c>
      <c r="B19" s="331" t="s">
        <v>93</v>
      </c>
      <c r="C19" s="157">
        <v>86</v>
      </c>
      <c r="D19" s="187"/>
      <c r="E19" s="187"/>
      <c r="F19" s="187"/>
      <c r="G19" s="157">
        <v>86</v>
      </c>
      <c r="H19" s="134"/>
      <c r="I19" s="375"/>
      <c r="J19" s="379"/>
      <c r="K19" s="372"/>
      <c r="M19" s="187"/>
      <c r="N19" s="187"/>
      <c r="O19" s="157">
        <v>86</v>
      </c>
      <c r="Q19" s="205"/>
      <c r="R19" s="206">
        <f t="shared" si="3"/>
        <v>258</v>
      </c>
      <c r="S19" s="190"/>
      <c r="T19" s="190"/>
      <c r="U19" s="138">
        <f t="shared" si="2"/>
        <v>258</v>
      </c>
    </row>
    <row r="20" spans="1:28" s="8" customFormat="1" ht="16.5" customHeight="1" x14ac:dyDescent="0.2">
      <c r="A20" s="168" t="s">
        <v>75</v>
      </c>
      <c r="B20" s="331" t="s">
        <v>92</v>
      </c>
      <c r="C20" s="215"/>
      <c r="D20" s="215"/>
      <c r="E20" s="133"/>
      <c r="F20" s="133"/>
      <c r="G20" s="134"/>
      <c r="H20" s="134"/>
      <c r="I20" s="380"/>
      <c r="J20" s="361"/>
      <c r="K20" s="361"/>
      <c r="L20" s="133"/>
      <c r="M20" s="133"/>
      <c r="N20" s="133"/>
      <c r="O20" s="133"/>
      <c r="P20" s="210">
        <v>100</v>
      </c>
      <c r="Q20" s="218" t="s">
        <v>76</v>
      </c>
      <c r="R20" s="206">
        <f t="shared" si="3"/>
        <v>100</v>
      </c>
      <c r="S20" s="207"/>
      <c r="T20" s="137"/>
      <c r="U20" s="138">
        <f t="shared" si="2"/>
        <v>100</v>
      </c>
      <c r="V20" s="219" t="s">
        <v>77</v>
      </c>
      <c r="W20" s="220"/>
      <c r="X20" s="220"/>
      <c r="Y20" s="220"/>
      <c r="Z20" s="221"/>
      <c r="AA20"/>
      <c r="AB20" s="110"/>
    </row>
    <row r="21" spans="1:28" s="8" customFormat="1" ht="16.5" customHeight="1" x14ac:dyDescent="0.2">
      <c r="A21" s="222" t="s">
        <v>78</v>
      </c>
      <c r="B21" s="333" t="s">
        <v>92</v>
      </c>
      <c r="C21" s="215"/>
      <c r="D21" s="215"/>
      <c r="E21" s="223"/>
      <c r="F21" s="215"/>
      <c r="G21" s="224"/>
      <c r="H21" s="224"/>
      <c r="I21" s="381"/>
      <c r="J21" s="378"/>
      <c r="K21" s="381"/>
      <c r="L21" s="215"/>
      <c r="M21" s="215"/>
      <c r="N21" s="225"/>
      <c r="O21" s="225"/>
      <c r="P21" s="210">
        <v>100</v>
      </c>
      <c r="Q21" s="226"/>
      <c r="R21" s="206">
        <f t="shared" si="3"/>
        <v>100</v>
      </c>
      <c r="S21" s="227"/>
      <c r="T21" s="228"/>
      <c r="U21" s="163">
        <f t="shared" si="2"/>
        <v>100</v>
      </c>
      <c r="W21" s="217"/>
      <c r="X21" s="217"/>
      <c r="Y21" s="217"/>
      <c r="Z21" s="110"/>
      <c r="AA21"/>
    </row>
    <row r="22" spans="1:28" x14ac:dyDescent="0.2">
      <c r="A22" s="216" t="s">
        <v>79</v>
      </c>
      <c r="B22" s="331" t="s">
        <v>93</v>
      </c>
      <c r="D22" s="158">
        <v>110</v>
      </c>
      <c r="E22" s="187"/>
      <c r="F22" s="210">
        <v>97</v>
      </c>
      <c r="G22" s="187"/>
      <c r="H22" s="187"/>
      <c r="I22" s="372"/>
      <c r="J22" s="379"/>
      <c r="K22" s="372"/>
      <c r="L22" s="210">
        <v>86.5</v>
      </c>
      <c r="M22" s="383">
        <v>86</v>
      </c>
      <c r="N22" s="210">
        <v>97</v>
      </c>
      <c r="O22" s="215"/>
      <c r="P22" s="225"/>
      <c r="Q22" s="205"/>
      <c r="R22" s="206">
        <f t="shared" si="3"/>
        <v>476.5</v>
      </c>
      <c r="S22" s="190"/>
      <c r="T22" s="190"/>
      <c r="U22" s="138">
        <f t="shared" si="2"/>
        <v>476.5</v>
      </c>
    </row>
    <row r="23" spans="1:28" s="8" customFormat="1" ht="16.5" customHeight="1" x14ac:dyDescent="0.2">
      <c r="A23" s="216" t="s">
        <v>73</v>
      </c>
      <c r="B23" s="331" t="s">
        <v>93</v>
      </c>
      <c r="C23" s="215"/>
      <c r="E23" s="215"/>
      <c r="F23" s="215"/>
      <c r="G23" s="215"/>
      <c r="H23" s="215"/>
      <c r="I23" s="378"/>
      <c r="J23" s="378"/>
      <c r="K23" s="378"/>
      <c r="L23" s="215"/>
      <c r="M23" s="215"/>
      <c r="N23" s="215"/>
      <c r="O23" s="215"/>
      <c r="P23" s="215"/>
      <c r="Q23" s="205"/>
      <c r="R23" s="206">
        <f>SUM(C23:Q23)</f>
        <v>0</v>
      </c>
      <c r="S23" s="127"/>
      <c r="T23" s="137"/>
      <c r="U23" s="138">
        <f>R23-S23-T23</f>
        <v>0</v>
      </c>
      <c r="W23" s="217"/>
      <c r="X23" s="217"/>
      <c r="Y23" s="217"/>
      <c r="Z23" s="110"/>
    </row>
    <row r="24" spans="1:28" x14ac:dyDescent="0.2">
      <c r="A24" s="216"/>
      <c r="B24" s="360"/>
      <c r="C24" s="187"/>
      <c r="D24" s="187"/>
      <c r="E24" s="187"/>
      <c r="F24" s="187"/>
      <c r="G24" s="187"/>
      <c r="H24" s="187"/>
      <c r="I24" s="372"/>
      <c r="J24" s="372"/>
      <c r="K24" s="372"/>
      <c r="L24" s="187"/>
      <c r="M24" s="187"/>
      <c r="N24" s="187"/>
      <c r="O24" s="187"/>
      <c r="P24" s="187"/>
      <c r="Q24" s="205"/>
      <c r="R24" s="206">
        <f t="shared" si="3"/>
        <v>0</v>
      </c>
      <c r="S24" s="190"/>
      <c r="T24" s="190"/>
      <c r="U24" s="138"/>
    </row>
    <row r="25" spans="1:28" s="8" customFormat="1" ht="16.5" customHeight="1" x14ac:dyDescent="0.2">
      <c r="A25" s="168"/>
      <c r="B25" s="360"/>
      <c r="C25" s="133"/>
      <c r="D25" s="133"/>
      <c r="E25" s="133"/>
      <c r="F25" s="133"/>
      <c r="G25" s="134"/>
      <c r="H25" s="134"/>
      <c r="I25" s="361"/>
      <c r="J25" s="361"/>
      <c r="K25" s="361"/>
      <c r="L25" s="133"/>
      <c r="M25" s="133"/>
      <c r="N25" s="133"/>
      <c r="O25" s="213"/>
      <c r="P25" s="213"/>
      <c r="Q25" s="211"/>
      <c r="R25" s="206">
        <f t="shared" si="3"/>
        <v>0</v>
      </c>
      <c r="S25" s="212"/>
      <c r="T25" s="137"/>
      <c r="U25" s="138"/>
      <c r="V25" s="182"/>
      <c r="W25" s="181"/>
      <c r="Y25" s="110"/>
      <c r="Z25" s="110"/>
      <c r="AA25" s="110"/>
      <c r="AB25" s="110"/>
    </row>
    <row r="26" spans="1:28" s="8" customFormat="1" ht="16.5" customHeight="1" x14ac:dyDescent="0.2">
      <c r="A26" s="229"/>
      <c r="B26" s="229"/>
      <c r="C26" s="230">
        <f>SUM(C5:C24)</f>
        <v>506</v>
      </c>
      <c r="D26" s="230">
        <f>SUM(D5:D24)</f>
        <v>782</v>
      </c>
      <c r="E26" s="230">
        <f>SUM(E5:E24)</f>
        <v>320</v>
      </c>
      <c r="F26" s="230">
        <f>SUM(F5:F24)</f>
        <v>795</v>
      </c>
      <c r="G26" s="230">
        <f>SUM(G5:G25)</f>
        <v>406</v>
      </c>
      <c r="H26" s="230">
        <f>SUM(H5:H24)</f>
        <v>881</v>
      </c>
      <c r="I26" s="230">
        <f>SUM(I5:I24)</f>
        <v>0</v>
      </c>
      <c r="J26" s="230">
        <f>SUM(J5:J24)</f>
        <v>0</v>
      </c>
      <c r="K26" s="230">
        <f>SUM(K5:K24)</f>
        <v>0</v>
      </c>
      <c r="L26" s="230">
        <f>SUM(L5:L25)</f>
        <v>1230.5</v>
      </c>
      <c r="M26" s="230">
        <f>SUM(M5:M24)</f>
        <v>521</v>
      </c>
      <c r="N26" s="230">
        <f>SUM(N5:N25)</f>
        <v>1152</v>
      </c>
      <c r="O26" s="230">
        <f>SUM(O5:O25)</f>
        <v>482</v>
      </c>
      <c r="P26" s="230">
        <f>SUM(P5:P25)</f>
        <v>897</v>
      </c>
      <c r="Q26" s="230">
        <f>SUM(Q5:Q24)</f>
        <v>270</v>
      </c>
      <c r="R26" s="231">
        <f>SUM(R5:R25)</f>
        <v>8242.5</v>
      </c>
      <c r="S26" s="230">
        <f>SUM(S6:S25)</f>
        <v>3407</v>
      </c>
      <c r="T26" s="232">
        <f>SUM(T5:T25)</f>
        <v>0</v>
      </c>
      <c r="U26" s="233">
        <f>SUM(U5:U25)</f>
        <v>4835.5</v>
      </c>
    </row>
    <row r="27" spans="1:28" s="8" customFormat="1" ht="16.5" customHeight="1" x14ac:dyDescent="0.2">
      <c r="A27" s="160"/>
      <c r="B27" s="234"/>
      <c r="C27" s="235"/>
      <c r="D27" s="235">
        <f>C26+D26</f>
        <v>1288</v>
      </c>
      <c r="E27" s="235"/>
      <c r="F27" s="235">
        <f>E26+F26</f>
        <v>1115</v>
      </c>
      <c r="G27" s="235"/>
      <c r="H27" s="235">
        <f>G26+H26</f>
        <v>1287</v>
      </c>
      <c r="I27" s="235"/>
      <c r="J27" s="235">
        <f>I26+J26</f>
        <v>0</v>
      </c>
      <c r="K27" s="235"/>
      <c r="L27" s="235">
        <f>K26+L26</f>
        <v>1230.5</v>
      </c>
      <c r="M27" s="235"/>
      <c r="N27" s="235">
        <f>M26+N26</f>
        <v>1673</v>
      </c>
      <c r="O27" s="235"/>
      <c r="P27" s="235">
        <f>O26+P26</f>
        <v>1379</v>
      </c>
      <c r="Q27" s="236"/>
      <c r="R27" s="237"/>
      <c r="S27" s="544">
        <f>S26+T26</f>
        <v>3407</v>
      </c>
      <c r="T27" s="545"/>
      <c r="U27" s="391" t="s">
        <v>149</v>
      </c>
    </row>
    <row r="28" spans="1:28" s="8" customFormat="1" ht="16.5" customHeight="1" x14ac:dyDescent="0.2">
      <c r="A28" s="238" t="s">
        <v>80</v>
      </c>
      <c r="B28" s="238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 t="s">
        <v>81</v>
      </c>
      <c r="P28" s="240">
        <f>SUM(C15:Q24)</f>
        <v>3117.5</v>
      </c>
      <c r="Q28" s="239"/>
      <c r="U28" s="119"/>
    </row>
    <row r="29" spans="1:28" s="8" customFormat="1" ht="16.5" customHeight="1" x14ac:dyDescent="0.2">
      <c r="A29" s="241" t="s">
        <v>82</v>
      </c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 t="s">
        <v>83</v>
      </c>
      <c r="P29" s="243">
        <f>SUM(C6:P12)</f>
        <v>4515</v>
      </c>
      <c r="Q29" s="243">
        <f>P28+P29</f>
        <v>7632.5</v>
      </c>
      <c r="U29" s="119"/>
    </row>
    <row r="30" spans="1:28" s="8" customFormat="1" ht="16.5" customHeight="1" x14ac:dyDescent="0.2">
      <c r="A30" s="244"/>
      <c r="B30" s="244"/>
      <c r="R30" s="245" t="s">
        <v>84</v>
      </c>
      <c r="S30" s="246">
        <f>C26+E26+G26+I26+K26+M26+O26</f>
        <v>2235</v>
      </c>
      <c r="T30" s="119"/>
    </row>
    <row r="31" spans="1:28" s="8" customFormat="1" x14ac:dyDescent="0.2">
      <c r="A31" s="244"/>
      <c r="B31" s="244"/>
      <c r="E31" s="546" t="s">
        <v>138</v>
      </c>
      <c r="F31" s="546"/>
      <c r="G31" s="546"/>
      <c r="H31" s="546"/>
      <c r="I31" s="546"/>
      <c r="J31" s="546"/>
      <c r="K31" s="546"/>
      <c r="L31" s="546"/>
      <c r="R31" s="247" t="s">
        <v>85</v>
      </c>
      <c r="S31" s="248">
        <f>D26+F26+H26+J26+L26+N26+P26+Q26</f>
        <v>6007.5</v>
      </c>
      <c r="T31" s="119"/>
    </row>
    <row r="32" spans="1:28" x14ac:dyDescent="0.2">
      <c r="E32" s="559" t="s">
        <v>136</v>
      </c>
      <c r="F32" s="559"/>
      <c r="G32" s="559"/>
      <c r="H32" s="559"/>
      <c r="I32" s="559"/>
      <c r="J32" s="559"/>
      <c r="K32" s="559"/>
      <c r="L32" s="559"/>
    </row>
    <row r="33" spans="1:29" x14ac:dyDescent="0.2">
      <c r="E33" s="559" t="s">
        <v>137</v>
      </c>
      <c r="F33" s="559"/>
      <c r="G33" s="559"/>
      <c r="H33" s="559"/>
      <c r="I33" s="559"/>
      <c r="J33" s="559"/>
      <c r="K33" s="559"/>
      <c r="L33" s="559"/>
    </row>
    <row r="35" spans="1:29" x14ac:dyDescent="0.2">
      <c r="AA35">
        <f>Z35-S35-T35-W35-X35</f>
        <v>0</v>
      </c>
    </row>
    <row r="36" spans="1:29" x14ac:dyDescent="0.2">
      <c r="A36" s="551" t="s">
        <v>46</v>
      </c>
      <c r="B36" s="551"/>
    </row>
    <row r="37" spans="1:29" s="8" customFormat="1" ht="16.5" customHeight="1" x14ac:dyDescent="0.2">
      <c r="A37" s="553" t="s">
        <v>86</v>
      </c>
      <c r="B37" s="554"/>
      <c r="C37" s="547" t="s">
        <v>34</v>
      </c>
      <c r="D37" s="547"/>
      <c r="E37" s="547" t="s">
        <v>35</v>
      </c>
      <c r="F37" s="547"/>
      <c r="G37" s="547" t="s">
        <v>36</v>
      </c>
      <c r="H37" s="547"/>
      <c r="I37" s="547" t="s">
        <v>37</v>
      </c>
      <c r="J37" s="547"/>
      <c r="K37" s="547" t="s">
        <v>38</v>
      </c>
      <c r="L37" s="547"/>
      <c r="M37" s="547" t="s">
        <v>40</v>
      </c>
      <c r="N37" s="547"/>
      <c r="O37" s="547" t="s">
        <v>41</v>
      </c>
      <c r="P37" s="547"/>
      <c r="T37" s="119"/>
    </row>
    <row r="38" spans="1:29" s="8" customFormat="1" ht="16.5" customHeight="1" x14ac:dyDescent="0.2">
      <c r="A38" s="120"/>
      <c r="B38" s="121" t="s">
        <v>47</v>
      </c>
      <c r="C38" s="548">
        <v>46027</v>
      </c>
      <c r="D38" s="549"/>
      <c r="E38" s="548">
        <v>46028</v>
      </c>
      <c r="F38" s="549"/>
      <c r="G38" s="548">
        <v>46029</v>
      </c>
      <c r="H38" s="549"/>
      <c r="I38" s="548">
        <v>46030</v>
      </c>
      <c r="J38" s="549"/>
      <c r="K38" s="548">
        <v>46031</v>
      </c>
      <c r="L38" s="549"/>
      <c r="M38" s="548">
        <v>46032</v>
      </c>
      <c r="N38" s="549"/>
      <c r="O38" s="548">
        <v>46033</v>
      </c>
      <c r="P38" s="549"/>
      <c r="Q38" s="122"/>
      <c r="R38" s="123"/>
      <c r="S38" s="124"/>
      <c r="U38" s="119"/>
    </row>
    <row r="39" spans="1:29" s="8" customFormat="1" ht="16.5" customHeight="1" x14ac:dyDescent="0.2">
      <c r="A39" s="120"/>
      <c r="B39" s="120" t="s">
        <v>48</v>
      </c>
      <c r="C39" s="125" t="s">
        <v>4</v>
      </c>
      <c r="D39" s="125" t="s">
        <v>5</v>
      </c>
      <c r="E39" s="125" t="s">
        <v>4</v>
      </c>
      <c r="F39" s="125" t="s">
        <v>5</v>
      </c>
      <c r="G39" s="125" t="s">
        <v>4</v>
      </c>
      <c r="H39" s="125" t="s">
        <v>5</v>
      </c>
      <c r="I39" s="125" t="s">
        <v>4</v>
      </c>
      <c r="J39" s="125" t="s">
        <v>5</v>
      </c>
      <c r="K39" s="125" t="s">
        <v>4</v>
      </c>
      <c r="L39" s="125" t="s">
        <v>5</v>
      </c>
      <c r="M39" s="125" t="s">
        <v>4</v>
      </c>
      <c r="N39" s="125" t="s">
        <v>5</v>
      </c>
      <c r="O39" s="125" t="s">
        <v>4</v>
      </c>
      <c r="P39" s="125" t="s">
        <v>5</v>
      </c>
      <c r="Q39" s="126" t="s">
        <v>49</v>
      </c>
      <c r="R39" s="123" t="s">
        <v>50</v>
      </c>
      <c r="S39" s="127" t="s">
        <v>51</v>
      </c>
      <c r="T39" s="128" t="s">
        <v>52</v>
      </c>
      <c r="U39" s="129" t="s">
        <v>53</v>
      </c>
    </row>
    <row r="40" spans="1:29" s="8" customFormat="1" ht="16.5" customHeight="1" x14ac:dyDescent="0.2">
      <c r="A40" s="130" t="s">
        <v>54</v>
      </c>
      <c r="B40" s="131">
        <v>250</v>
      </c>
      <c r="C40" s="132"/>
      <c r="D40" s="133"/>
      <c r="E40" s="133"/>
      <c r="F40" s="133"/>
      <c r="G40" s="134"/>
      <c r="H40" s="134"/>
      <c r="I40" s="133"/>
      <c r="J40" s="133"/>
      <c r="K40" s="133"/>
      <c r="L40" s="133"/>
      <c r="M40" s="133"/>
      <c r="N40" s="133"/>
      <c r="O40" s="133"/>
      <c r="P40" s="133"/>
      <c r="Q40" s="135">
        <v>250</v>
      </c>
      <c r="R40" s="136">
        <f>SUM(C40:Q40)</f>
        <v>250</v>
      </c>
      <c r="S40" s="123"/>
      <c r="T40" s="137"/>
      <c r="U40" s="138">
        <f t="shared" ref="U40:U46" si="4">R40-S40-T40</f>
        <v>250</v>
      </c>
      <c r="V40" s="139"/>
      <c r="W40" s="110"/>
      <c r="X40" s="110"/>
      <c r="Y40" s="110"/>
      <c r="Z40" s="110"/>
      <c r="AA40" s="110"/>
      <c r="AB40" s="110"/>
    </row>
    <row r="41" spans="1:29" s="147" customFormat="1" ht="16.5" customHeight="1" x14ac:dyDescent="0.2">
      <c r="A41" s="130" t="s">
        <v>55</v>
      </c>
      <c r="B41" s="330" t="s">
        <v>87</v>
      </c>
      <c r="C41" s="140">
        <v>120</v>
      </c>
      <c r="D41" s="141">
        <v>130</v>
      </c>
      <c r="E41" s="133"/>
      <c r="F41" s="133"/>
      <c r="G41" s="142"/>
      <c r="H41" s="142"/>
      <c r="I41" s="140">
        <v>120</v>
      </c>
      <c r="J41" s="141">
        <v>130</v>
      </c>
      <c r="K41" s="140">
        <v>120</v>
      </c>
      <c r="L41" s="141">
        <v>130</v>
      </c>
      <c r="M41" s="140">
        <v>120</v>
      </c>
      <c r="N41" s="141">
        <v>130</v>
      </c>
      <c r="O41" s="140">
        <v>120</v>
      </c>
      <c r="P41" s="141">
        <v>130</v>
      </c>
      <c r="Q41" s="135"/>
      <c r="R41" s="136">
        <f>SUM(C41:Q41)</f>
        <v>1250</v>
      </c>
      <c r="S41" s="143">
        <v>962</v>
      </c>
      <c r="T41" s="137"/>
      <c r="U41" s="138">
        <f t="shared" si="4"/>
        <v>288</v>
      </c>
      <c r="V41" s="550"/>
      <c r="W41" s="541"/>
      <c r="X41" s="541"/>
      <c r="Y41" s="541"/>
      <c r="Z41" s="144"/>
      <c r="AA41" s="145"/>
      <c r="AB41" s="146"/>
    </row>
    <row r="42" spans="1:29" s="147" customFormat="1" ht="16.5" customHeight="1" x14ac:dyDescent="0.2">
      <c r="A42" s="130" t="s">
        <v>56</v>
      </c>
      <c r="B42" s="330" t="s">
        <v>88</v>
      </c>
      <c r="C42" s="148">
        <v>115</v>
      </c>
      <c r="D42" s="141">
        <v>125</v>
      </c>
      <c r="E42" s="148">
        <v>115</v>
      </c>
      <c r="F42" s="141">
        <v>125</v>
      </c>
      <c r="G42" s="148">
        <v>115</v>
      </c>
      <c r="H42" s="141">
        <v>125</v>
      </c>
      <c r="I42" s="145"/>
      <c r="J42" s="395"/>
      <c r="K42" s="148">
        <v>115</v>
      </c>
      <c r="L42" s="141">
        <v>125</v>
      </c>
      <c r="M42" s="148">
        <v>115</v>
      </c>
      <c r="N42" s="141">
        <v>125</v>
      </c>
      <c r="O42" s="149"/>
      <c r="P42" s="150"/>
      <c r="Q42" s="151"/>
      <c r="R42" s="136">
        <f>SUM(C42:Q42)</f>
        <v>1200</v>
      </c>
      <c r="S42" s="152"/>
      <c r="T42" s="137"/>
      <c r="U42" s="138">
        <f t="shared" si="4"/>
        <v>1200</v>
      </c>
      <c r="V42" s="153" t="s">
        <v>57</v>
      </c>
      <c r="W42" s="153"/>
      <c r="X42" s="154">
        <f>U42-463</f>
        <v>737</v>
      </c>
      <c r="Y42" s="155"/>
      <c r="Z42" s="144"/>
      <c r="AA42" s="145"/>
      <c r="AB42" s="145"/>
    </row>
    <row r="43" spans="1:29" s="8" customFormat="1" ht="16.5" customHeight="1" x14ac:dyDescent="0.2">
      <c r="A43" s="156" t="s">
        <v>58</v>
      </c>
      <c r="B43" s="330" t="s">
        <v>64</v>
      </c>
      <c r="C43" s="157">
        <v>95</v>
      </c>
      <c r="D43" s="158">
        <v>120</v>
      </c>
      <c r="E43" s="159">
        <v>95</v>
      </c>
      <c r="F43" s="158">
        <v>120</v>
      </c>
      <c r="G43" s="159">
        <v>95</v>
      </c>
      <c r="H43" s="158">
        <v>120</v>
      </c>
      <c r="I43" s="402">
        <v>95</v>
      </c>
      <c r="J43" s="158">
        <v>120</v>
      </c>
      <c r="K43" s="159">
        <v>95</v>
      </c>
      <c r="L43" s="158">
        <v>120</v>
      </c>
      <c r="M43" s="160"/>
      <c r="N43" s="160"/>
      <c r="O43" s="160"/>
      <c r="P43" s="160"/>
      <c r="Q43" s="161"/>
      <c r="R43" s="136">
        <f>SUM(C43:Q43)</f>
        <v>1075</v>
      </c>
      <c r="S43" s="143">
        <v>1145</v>
      </c>
      <c r="T43" s="162"/>
      <c r="U43" s="163">
        <f t="shared" si="4"/>
        <v>-70</v>
      </c>
      <c r="V43" s="536" t="s">
        <v>60</v>
      </c>
      <c r="W43" s="537"/>
      <c r="X43" s="537"/>
      <c r="Y43" s="164"/>
      <c r="Z43" s="110"/>
      <c r="AA43" s="110"/>
      <c r="AB43" s="165"/>
      <c r="AC43" s="110"/>
    </row>
    <row r="44" spans="1:29" s="8" customFormat="1" ht="16.5" customHeight="1" x14ac:dyDescent="0.2">
      <c r="A44" s="156" t="s">
        <v>61</v>
      </c>
      <c r="B44" s="330" t="s">
        <v>59</v>
      </c>
      <c r="C44" s="166">
        <v>90</v>
      </c>
      <c r="D44" s="133"/>
      <c r="E44" s="133"/>
      <c r="F44" s="158">
        <v>115</v>
      </c>
      <c r="G44" s="134"/>
      <c r="H44" s="158">
        <v>115</v>
      </c>
      <c r="I44" s="133"/>
      <c r="J44" s="158">
        <v>115</v>
      </c>
      <c r="K44" s="396"/>
      <c r="L44" s="158">
        <v>115</v>
      </c>
      <c r="M44" s="166">
        <v>90</v>
      </c>
      <c r="N44" s="158">
        <v>115</v>
      </c>
      <c r="O44" s="166">
        <v>90</v>
      </c>
      <c r="P44" s="141">
        <v>115</v>
      </c>
      <c r="Q44" s="135"/>
      <c r="R44" s="136">
        <f>SUM(C44:Q44)</f>
        <v>960</v>
      </c>
      <c r="S44" s="127"/>
      <c r="T44" s="167"/>
      <c r="U44" s="138">
        <f t="shared" si="4"/>
        <v>960</v>
      </c>
      <c r="W44" s="110"/>
      <c r="X44" s="110"/>
      <c r="Y44" s="110"/>
      <c r="Z44" s="110"/>
      <c r="AA44" s="110"/>
      <c r="AB44" s="110"/>
    </row>
    <row r="45" spans="1:29" s="8" customFormat="1" ht="16.5" customHeight="1" x14ac:dyDescent="0.2">
      <c r="A45" s="168" t="s">
        <v>63</v>
      </c>
      <c r="B45" s="331" t="s">
        <v>89</v>
      </c>
      <c r="C45" s="169"/>
      <c r="D45" s="160"/>
      <c r="E45" s="132"/>
      <c r="G45" s="134"/>
      <c r="H45" s="170">
        <v>120</v>
      </c>
      <c r="I45" s="395"/>
      <c r="J45" s="110"/>
      <c r="K45" s="397"/>
      <c r="L45" s="171">
        <v>120</v>
      </c>
      <c r="M45" s="172"/>
      <c r="N45" s="158">
        <v>120</v>
      </c>
      <c r="O45" s="148">
        <v>100</v>
      </c>
      <c r="P45" s="141">
        <v>120</v>
      </c>
      <c r="Q45" s="135"/>
      <c r="R45" s="136">
        <f t="shared" ref="R45:R49" si="5">SUM(C45:Q45)</f>
        <v>580</v>
      </c>
      <c r="S45" s="143">
        <v>250</v>
      </c>
      <c r="T45" s="137"/>
      <c r="U45" s="138">
        <f t="shared" si="4"/>
        <v>330</v>
      </c>
      <c r="V45" s="538" t="s">
        <v>160</v>
      </c>
      <c r="W45" s="539"/>
      <c r="X45" s="539"/>
      <c r="Y45" s="539"/>
      <c r="Z45" s="173">
        <f>U45-250</f>
        <v>80</v>
      </c>
      <c r="AA45" s="174" t="s">
        <v>161</v>
      </c>
      <c r="AB45" s="175"/>
      <c r="AC45" s="165"/>
    </row>
    <row r="46" spans="1:29" s="8" customFormat="1" ht="16.5" customHeight="1" x14ac:dyDescent="0.2">
      <c r="A46" s="156" t="s">
        <v>65</v>
      </c>
      <c r="B46" s="131" t="s">
        <v>62</v>
      </c>
      <c r="C46" s="176"/>
      <c r="D46" s="133"/>
      <c r="E46" s="133"/>
      <c r="F46" s="133"/>
      <c r="G46" s="134"/>
      <c r="H46" s="134"/>
      <c r="I46" s="398"/>
      <c r="J46" s="396"/>
      <c r="K46" s="133"/>
      <c r="L46" s="133"/>
      <c r="M46" s="169"/>
      <c r="N46" s="158">
        <v>115</v>
      </c>
      <c r="O46" s="169"/>
      <c r="P46" s="158">
        <v>115</v>
      </c>
      <c r="Q46" s="177"/>
      <c r="R46" s="136">
        <f t="shared" si="5"/>
        <v>230</v>
      </c>
      <c r="S46" s="178"/>
      <c r="T46" s="137"/>
      <c r="U46" s="138">
        <f t="shared" si="4"/>
        <v>230</v>
      </c>
      <c r="V46" s="110"/>
      <c r="W46" s="110"/>
      <c r="X46" s="165"/>
      <c r="Y46" s="110"/>
      <c r="Z46" s="110"/>
      <c r="AA46" s="110"/>
      <c r="AB46" s="110"/>
    </row>
    <row r="47" spans="1:29" s="8" customFormat="1" ht="16.5" customHeight="1" x14ac:dyDescent="0.2">
      <c r="A47" s="168" t="s">
        <v>159</v>
      </c>
      <c r="B47" s="331" t="s">
        <v>94</v>
      </c>
      <c r="C47" s="132"/>
      <c r="D47" s="132"/>
      <c r="E47" s="132"/>
      <c r="F47" s="132"/>
      <c r="G47" s="132"/>
      <c r="H47" s="132"/>
      <c r="I47" s="132"/>
      <c r="J47" s="158">
        <v>160</v>
      </c>
      <c r="K47" s="132"/>
      <c r="L47" s="132"/>
      <c r="M47" s="132"/>
      <c r="N47" s="132"/>
      <c r="O47" s="132"/>
      <c r="P47" s="132"/>
      <c r="Q47" s="179"/>
      <c r="R47" s="136">
        <f t="shared" si="5"/>
        <v>160</v>
      </c>
      <c r="S47" s="119"/>
      <c r="T47" s="137"/>
      <c r="U47" s="138">
        <f>R47-S47-T47</f>
        <v>160</v>
      </c>
      <c r="V47" s="180"/>
      <c r="W47" s="181"/>
      <c r="X47" s="182"/>
      <c r="Y47" s="181"/>
      <c r="Z47" s="183"/>
      <c r="AA47" s="110"/>
      <c r="AB47" s="110"/>
    </row>
    <row r="48" spans="1:29" x14ac:dyDescent="0.2">
      <c r="A48" s="184" t="s">
        <v>67</v>
      </c>
      <c r="B48" s="185">
        <v>120</v>
      </c>
      <c r="C48" s="186"/>
      <c r="D48" s="186"/>
      <c r="E48" s="186"/>
      <c r="F48" s="186"/>
      <c r="G48" s="186"/>
      <c r="H48" s="187"/>
      <c r="I48" s="399"/>
      <c r="J48" s="399"/>
      <c r="K48" s="399"/>
      <c r="L48" s="171">
        <v>120</v>
      </c>
      <c r="M48" s="187"/>
      <c r="N48" s="186"/>
      <c r="O48" s="188"/>
      <c r="P48" s="189"/>
      <c r="Q48" s="135"/>
      <c r="R48" s="136">
        <f t="shared" si="5"/>
        <v>120</v>
      </c>
      <c r="S48" s="190"/>
      <c r="T48" s="190"/>
      <c r="U48" s="138">
        <f>R48-S48-T48</f>
        <v>120</v>
      </c>
      <c r="X48" s="540"/>
      <c r="Y48" s="540"/>
      <c r="Z48" s="540"/>
      <c r="AA48" s="540"/>
      <c r="AB48" s="118"/>
      <c r="AC48" s="118"/>
    </row>
    <row r="49" spans="1:28" s="8" customFormat="1" ht="16.5" customHeight="1" thickBot="1" x14ac:dyDescent="0.25">
      <c r="A49" s="191" t="s">
        <v>68</v>
      </c>
      <c r="B49" s="192" t="s">
        <v>90</v>
      </c>
      <c r="C49" s="193"/>
      <c r="D49" s="194"/>
      <c r="E49" s="193"/>
      <c r="F49" s="403">
        <v>120</v>
      </c>
      <c r="G49" s="193"/>
      <c r="H49" s="193"/>
      <c r="I49" s="193"/>
      <c r="J49" s="400"/>
      <c r="K49" s="193"/>
      <c r="L49" s="193"/>
      <c r="M49" s="193"/>
      <c r="N49" s="195">
        <v>120</v>
      </c>
      <c r="O49" s="193"/>
      <c r="P49" s="195">
        <v>120</v>
      </c>
      <c r="Q49" s="196"/>
      <c r="R49" s="197">
        <f t="shared" si="5"/>
        <v>360</v>
      </c>
      <c r="S49" s="198"/>
      <c r="T49" s="193"/>
      <c r="U49" s="199">
        <f t="shared" ref="U49:U57" si="6">R49-S49-T49</f>
        <v>360</v>
      </c>
      <c r="V49" s="110"/>
      <c r="W49" s="541"/>
      <c r="X49" s="541"/>
      <c r="Y49" s="110"/>
      <c r="Z49" s="110"/>
      <c r="AA49" s="110"/>
      <c r="AB49" s="110"/>
    </row>
    <row r="50" spans="1:28" s="8" customFormat="1" ht="16.5" customHeight="1" x14ac:dyDescent="0.2">
      <c r="A50" s="200" t="s">
        <v>69</v>
      </c>
      <c r="B50" s="332" t="s">
        <v>91</v>
      </c>
      <c r="C50" s="202"/>
      <c r="D50" s="202"/>
      <c r="E50" s="157">
        <v>110</v>
      </c>
      <c r="F50" s="203">
        <v>130</v>
      </c>
      <c r="G50" s="157">
        <v>110</v>
      </c>
      <c r="H50" s="213"/>
      <c r="I50" s="157">
        <v>110</v>
      </c>
      <c r="J50" s="203">
        <v>130</v>
      </c>
      <c r="K50" s="157">
        <v>110</v>
      </c>
      <c r="L50" s="203">
        <v>130</v>
      </c>
      <c r="M50" s="157">
        <v>110</v>
      </c>
      <c r="N50" s="203">
        <v>130</v>
      </c>
      <c r="O50" s="204"/>
      <c r="P50" s="204"/>
      <c r="Q50" s="205"/>
      <c r="R50" s="206">
        <f>SUM(C50:Q50)</f>
        <v>1070</v>
      </c>
      <c r="S50" s="207">
        <v>800</v>
      </c>
      <c r="T50" s="208"/>
      <c r="U50" s="209">
        <f t="shared" si="6"/>
        <v>270</v>
      </c>
      <c r="V50" s="542"/>
      <c r="W50" s="543"/>
      <c r="X50" s="543"/>
      <c r="Y50" s="543"/>
      <c r="Z50" s="175"/>
      <c r="AA50" s="110"/>
      <c r="AB50" s="110"/>
    </row>
    <row r="51" spans="1:28" s="8" customFormat="1" ht="16.5" customHeight="1" x14ac:dyDescent="0.2">
      <c r="A51" s="168" t="s">
        <v>70</v>
      </c>
      <c r="B51" s="331" t="s">
        <v>92</v>
      </c>
      <c r="C51" s="132"/>
      <c r="D51" s="210">
        <v>100</v>
      </c>
      <c r="E51" s="132"/>
      <c r="F51" s="132"/>
      <c r="G51" s="132"/>
      <c r="H51" s="210">
        <v>100</v>
      </c>
      <c r="I51" s="133"/>
      <c r="J51" s="401"/>
      <c r="K51" s="133"/>
      <c r="L51" s="203">
        <v>100</v>
      </c>
      <c r="M51" s="133"/>
      <c r="N51" s="203">
        <v>100</v>
      </c>
      <c r="O51" s="133"/>
      <c r="P51" s="133"/>
      <c r="Q51" s="211"/>
      <c r="R51" s="206">
        <f t="shared" ref="R51:R57" si="7">SUM(C51:Q51)</f>
        <v>400</v>
      </c>
      <c r="S51" s="212"/>
      <c r="T51" s="137"/>
      <c r="U51" s="138">
        <f t="shared" si="6"/>
        <v>400</v>
      </c>
      <c r="W51" s="110"/>
      <c r="X51" s="110"/>
      <c r="Y51" s="110"/>
      <c r="Z51" s="110"/>
      <c r="AA51" s="110"/>
      <c r="AB51" s="110"/>
    </row>
    <row r="52" spans="1:28" s="8" customFormat="1" ht="16.5" customHeight="1" x14ac:dyDescent="0.2">
      <c r="A52" s="200" t="s">
        <v>71</v>
      </c>
      <c r="B52" s="332" t="s">
        <v>92</v>
      </c>
      <c r="C52" s="213"/>
      <c r="D52" s="210">
        <v>100</v>
      </c>
      <c r="E52" s="213"/>
      <c r="F52" s="213"/>
      <c r="G52" s="213"/>
      <c r="H52" s="210">
        <v>100</v>
      </c>
      <c r="I52" s="213"/>
      <c r="J52" s="110"/>
      <c r="K52" s="213"/>
      <c r="L52" s="203">
        <v>100</v>
      </c>
      <c r="M52" s="213"/>
      <c r="N52" s="210">
        <v>100</v>
      </c>
      <c r="O52" s="213"/>
      <c r="P52" s="213"/>
      <c r="Q52" s="201"/>
      <c r="R52" s="206">
        <f t="shared" si="7"/>
        <v>400</v>
      </c>
      <c r="S52" s="212"/>
      <c r="T52" s="208"/>
      <c r="U52" s="209">
        <f t="shared" si="6"/>
        <v>400</v>
      </c>
      <c r="V52" s="146"/>
      <c r="W52" s="145"/>
      <c r="X52" s="214"/>
      <c r="Y52" s="214"/>
      <c r="Z52" s="214"/>
      <c r="AA52" s="110"/>
      <c r="AB52" s="110"/>
    </row>
    <row r="53" spans="1:28" s="8" customFormat="1" ht="16.5" customHeight="1" x14ac:dyDescent="0.2">
      <c r="A53" s="168" t="s">
        <v>72</v>
      </c>
      <c r="B53" s="331" t="s">
        <v>93</v>
      </c>
      <c r="C53" s="213"/>
      <c r="D53" s="210">
        <v>97</v>
      </c>
      <c r="E53" s="132"/>
      <c r="F53" s="132"/>
      <c r="G53" s="132"/>
      <c r="H53" s="210">
        <v>97</v>
      </c>
      <c r="I53" s="132"/>
      <c r="J53" s="132"/>
      <c r="K53" s="157">
        <v>86</v>
      </c>
      <c r="L53" s="210">
        <v>97</v>
      </c>
      <c r="M53" s="215"/>
      <c r="N53" s="215"/>
      <c r="O53" s="157">
        <v>86</v>
      </c>
      <c r="P53" s="210">
        <v>97</v>
      </c>
      <c r="Q53" s="135"/>
      <c r="R53" s="206">
        <f t="shared" si="7"/>
        <v>560</v>
      </c>
      <c r="S53" s="143">
        <v>250</v>
      </c>
      <c r="T53" s="137"/>
      <c r="U53" s="138">
        <f t="shared" si="6"/>
        <v>310</v>
      </c>
      <c r="W53" s="110"/>
      <c r="X53" s="110"/>
      <c r="Y53" s="165"/>
      <c r="Z53" s="110"/>
      <c r="AA53" s="110"/>
      <c r="AB53" s="110"/>
    </row>
    <row r="54" spans="1:28" x14ac:dyDescent="0.2">
      <c r="A54" s="216" t="s">
        <v>74</v>
      </c>
      <c r="B54" s="331" t="s">
        <v>93</v>
      </c>
      <c r="C54" s="157">
        <v>86</v>
      </c>
      <c r="D54" s="187"/>
      <c r="E54" s="157">
        <v>86</v>
      </c>
      <c r="F54" s="210">
        <v>97</v>
      </c>
      <c r="G54" s="157">
        <v>86</v>
      </c>
      <c r="H54" s="134"/>
      <c r="I54" s="157">
        <v>86</v>
      </c>
      <c r="J54" s="210">
        <v>97</v>
      </c>
      <c r="K54" s="399"/>
      <c r="M54" s="187"/>
      <c r="N54" s="187"/>
      <c r="O54" s="157">
        <v>86</v>
      </c>
      <c r="Q54" s="205"/>
      <c r="R54" s="206">
        <f t="shared" si="7"/>
        <v>624</v>
      </c>
      <c r="S54" s="190"/>
      <c r="T54" s="190"/>
      <c r="U54" s="138">
        <f t="shared" si="6"/>
        <v>624</v>
      </c>
    </row>
    <row r="55" spans="1:28" s="8" customFormat="1" ht="16.5" customHeight="1" x14ac:dyDescent="0.2">
      <c r="A55" s="168" t="s">
        <v>75</v>
      </c>
      <c r="B55" s="331" t="s">
        <v>92</v>
      </c>
      <c r="C55" s="215"/>
      <c r="D55" s="215"/>
      <c r="E55" s="133"/>
      <c r="F55" s="133"/>
      <c r="G55" s="134"/>
      <c r="H55" s="134"/>
      <c r="I55" s="134"/>
      <c r="J55" s="133"/>
      <c r="K55" s="133"/>
      <c r="L55" s="133"/>
      <c r="M55" s="133"/>
      <c r="N55" s="133"/>
      <c r="O55" s="133"/>
      <c r="P55" s="210">
        <v>100</v>
      </c>
      <c r="Q55" s="218" t="s">
        <v>76</v>
      </c>
      <c r="R55" s="206">
        <f t="shared" si="7"/>
        <v>100</v>
      </c>
      <c r="S55" s="207"/>
      <c r="T55" s="137"/>
      <c r="U55" s="138">
        <f t="shared" si="6"/>
        <v>100</v>
      </c>
      <c r="V55" s="219" t="s">
        <v>77</v>
      </c>
      <c r="W55" s="220"/>
      <c r="X55" s="220"/>
      <c r="Y55" s="220"/>
      <c r="Z55" s="221"/>
      <c r="AA55"/>
      <c r="AB55" s="110"/>
    </row>
    <row r="56" spans="1:28" s="8" customFormat="1" ht="16.5" customHeight="1" x14ac:dyDescent="0.2">
      <c r="A56" s="222" t="s">
        <v>78</v>
      </c>
      <c r="B56" s="333" t="s">
        <v>92</v>
      </c>
      <c r="C56" s="215"/>
      <c r="D56" s="215"/>
      <c r="E56" s="223"/>
      <c r="F56" s="215"/>
      <c r="G56" s="224"/>
      <c r="H56" s="224"/>
      <c r="I56" s="225"/>
      <c r="J56" s="215"/>
      <c r="K56" s="225"/>
      <c r="L56" s="215"/>
      <c r="M56" s="215"/>
      <c r="N56" s="225"/>
      <c r="O56" s="225"/>
      <c r="P56" s="210">
        <v>100</v>
      </c>
      <c r="Q56" s="226"/>
      <c r="R56" s="206">
        <f t="shared" si="7"/>
        <v>100</v>
      </c>
      <c r="S56" s="227"/>
      <c r="T56" s="228"/>
      <c r="U56" s="163">
        <f t="shared" si="6"/>
        <v>100</v>
      </c>
      <c r="W56" s="217"/>
      <c r="X56" s="217"/>
      <c r="Y56" s="217"/>
      <c r="Z56" s="110"/>
      <c r="AA56"/>
    </row>
    <row r="57" spans="1:28" x14ac:dyDescent="0.2">
      <c r="A57" s="216" t="s">
        <v>79</v>
      </c>
      <c r="B57" s="331" t="s">
        <v>93</v>
      </c>
      <c r="D57" s="158">
        <v>110</v>
      </c>
      <c r="E57" s="187"/>
      <c r="F57" s="210">
        <v>97</v>
      </c>
      <c r="G57" s="187"/>
      <c r="H57" s="187"/>
      <c r="I57" s="399"/>
      <c r="J57" s="210">
        <v>97</v>
      </c>
      <c r="K57" s="399"/>
      <c r="L57" s="210">
        <v>97</v>
      </c>
      <c r="M57" s="383">
        <v>86</v>
      </c>
      <c r="N57" s="210">
        <v>97</v>
      </c>
      <c r="O57" s="215"/>
      <c r="P57" s="225"/>
      <c r="Q57" s="205"/>
      <c r="R57" s="206">
        <f t="shared" si="7"/>
        <v>584</v>
      </c>
      <c r="S57" s="190"/>
      <c r="T57" s="190"/>
      <c r="U57" s="138">
        <f t="shared" si="6"/>
        <v>584</v>
      </c>
    </row>
    <row r="58" spans="1:28" s="8" customFormat="1" ht="16.5" customHeight="1" x14ac:dyDescent="0.2">
      <c r="A58" s="216" t="s">
        <v>73</v>
      </c>
      <c r="B58" s="331" t="s">
        <v>93</v>
      </c>
      <c r="C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05"/>
      <c r="R58" s="206">
        <f>SUM(C58:Q58)</f>
        <v>0</v>
      </c>
      <c r="S58" s="127"/>
      <c r="T58" s="137"/>
      <c r="U58" s="138">
        <f>R58-S58-T58</f>
        <v>0</v>
      </c>
      <c r="W58" s="217"/>
      <c r="X58" s="217"/>
      <c r="Y58" s="217"/>
      <c r="Z58" s="110"/>
    </row>
    <row r="59" spans="1:28" x14ac:dyDescent="0.2">
      <c r="A59" s="216"/>
      <c r="B59" s="360"/>
      <c r="C59" s="187"/>
      <c r="D59" s="187"/>
      <c r="E59" s="187"/>
      <c r="F59" s="187"/>
      <c r="G59" s="187"/>
      <c r="H59" s="187"/>
      <c r="I59" s="399"/>
      <c r="J59" s="399"/>
      <c r="K59" s="399"/>
      <c r="L59" s="187"/>
      <c r="M59" s="187"/>
      <c r="N59" s="187"/>
      <c r="O59" s="187"/>
      <c r="P59" s="187"/>
      <c r="Q59" s="205"/>
      <c r="R59" s="206">
        <f t="shared" ref="R59:R60" si="8">SUM(C59:Q59)</f>
        <v>0</v>
      </c>
      <c r="S59" s="190"/>
      <c r="T59" s="190"/>
      <c r="U59" s="138"/>
    </row>
    <row r="60" spans="1:28" s="8" customFormat="1" ht="16.5" customHeight="1" x14ac:dyDescent="0.2">
      <c r="A60" s="168"/>
      <c r="B60" s="360"/>
      <c r="C60" s="133"/>
      <c r="D60" s="133"/>
      <c r="E60" s="133"/>
      <c r="F60" s="133"/>
      <c r="G60" s="134"/>
      <c r="H60" s="134"/>
      <c r="I60" s="133"/>
      <c r="J60" s="133"/>
      <c r="K60" s="133"/>
      <c r="L60" s="133"/>
      <c r="M60" s="133"/>
      <c r="N60" s="133"/>
      <c r="O60" s="213"/>
      <c r="P60" s="213"/>
      <c r="Q60" s="211"/>
      <c r="R60" s="206">
        <f t="shared" si="8"/>
        <v>0</v>
      </c>
      <c r="S60" s="212"/>
      <c r="T60" s="137"/>
      <c r="U60" s="138"/>
      <c r="V60" s="182"/>
      <c r="W60" s="181"/>
      <c r="Y60" s="110"/>
      <c r="Z60" s="110"/>
      <c r="AA60" s="110"/>
      <c r="AB60" s="110"/>
    </row>
    <row r="61" spans="1:28" s="8" customFormat="1" ht="16.5" customHeight="1" x14ac:dyDescent="0.2">
      <c r="A61" s="229"/>
      <c r="B61" s="229"/>
      <c r="C61" s="230">
        <f>SUM(C40:C59)</f>
        <v>506</v>
      </c>
      <c r="D61" s="230">
        <f>SUM(D40:D59)</f>
        <v>782</v>
      </c>
      <c r="E61" s="230">
        <f>SUM(E40:E59)</f>
        <v>406</v>
      </c>
      <c r="F61" s="230">
        <f>SUM(F40:F59)</f>
        <v>804</v>
      </c>
      <c r="G61" s="230">
        <f>SUM(G40:G60)</f>
        <v>406</v>
      </c>
      <c r="H61" s="230">
        <f>SUM(H40:H59)</f>
        <v>777</v>
      </c>
      <c r="I61" s="230">
        <f>SUM(I40:I59)</f>
        <v>411</v>
      </c>
      <c r="J61" s="230">
        <f>SUM(J40:J59)</f>
        <v>849</v>
      </c>
      <c r="K61" s="230">
        <f>SUM(K40:K59)</f>
        <v>526</v>
      </c>
      <c r="L61" s="230">
        <f>SUM(L40:L60)</f>
        <v>1254</v>
      </c>
      <c r="M61" s="230">
        <f>SUM(M40:M59)</f>
        <v>521</v>
      </c>
      <c r="N61" s="230">
        <f>SUM(N40:N60)</f>
        <v>1152</v>
      </c>
      <c r="O61" s="230">
        <f>SUM(O40:O60)</f>
        <v>482</v>
      </c>
      <c r="P61" s="230">
        <f>SUM(P40:P60)</f>
        <v>897</v>
      </c>
      <c r="Q61" s="230">
        <f>SUM(Q40:Q59)</f>
        <v>250</v>
      </c>
      <c r="R61" s="231">
        <f>SUM(R40:R60)</f>
        <v>10023</v>
      </c>
      <c r="S61" s="230">
        <f>SUM(S41:S60)</f>
        <v>3407</v>
      </c>
      <c r="T61" s="232">
        <f>SUM(T40:T60)</f>
        <v>0</v>
      </c>
      <c r="U61" s="233">
        <f>SUM(U40:U60)</f>
        <v>6616</v>
      </c>
    </row>
    <row r="62" spans="1:28" s="8" customFormat="1" ht="16.5" customHeight="1" x14ac:dyDescent="0.2">
      <c r="A62" s="160"/>
      <c r="B62" s="234"/>
      <c r="C62" s="235"/>
      <c r="D62" s="235">
        <f>C61+D61</f>
        <v>1288</v>
      </c>
      <c r="E62" s="235"/>
      <c r="F62" s="235">
        <f>E61+F61</f>
        <v>1210</v>
      </c>
      <c r="G62" s="235"/>
      <c r="H62" s="235">
        <f>G61+H61</f>
        <v>1183</v>
      </c>
      <c r="I62" s="235"/>
      <c r="J62" s="235">
        <f>I61+J61</f>
        <v>1260</v>
      </c>
      <c r="K62" s="235"/>
      <c r="L62" s="235">
        <f>K61+L61</f>
        <v>1780</v>
      </c>
      <c r="M62" s="235"/>
      <c r="N62" s="235">
        <f>M61+N61</f>
        <v>1673</v>
      </c>
      <c r="O62" s="235"/>
      <c r="P62" s="235">
        <f>O61+P61</f>
        <v>1379</v>
      </c>
      <c r="Q62" s="236"/>
      <c r="R62" s="237"/>
      <c r="S62" s="544">
        <f>S61+T61</f>
        <v>3407</v>
      </c>
      <c r="T62" s="545"/>
      <c r="U62" s="391" t="s">
        <v>149</v>
      </c>
    </row>
    <row r="63" spans="1:28" s="8" customFormat="1" ht="16.5" customHeight="1" x14ac:dyDescent="0.2">
      <c r="A63" s="238" t="s">
        <v>80</v>
      </c>
      <c r="B63" s="238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 t="s">
        <v>81</v>
      </c>
      <c r="P63" s="240">
        <f>SUM(C50:Q59)</f>
        <v>3838</v>
      </c>
      <c r="Q63" s="239"/>
      <c r="U63" s="119"/>
    </row>
    <row r="64" spans="1:28" s="8" customFormat="1" ht="16.5" customHeight="1" x14ac:dyDescent="0.2">
      <c r="A64" s="241" t="s">
        <v>82</v>
      </c>
      <c r="B64" s="241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 t="s">
        <v>83</v>
      </c>
      <c r="P64" s="243">
        <f>SUM(C41:P47)</f>
        <v>5455</v>
      </c>
      <c r="Q64" s="243">
        <f>P63+P64</f>
        <v>9293</v>
      </c>
      <c r="U64" s="119"/>
    </row>
    <row r="65" spans="1:29" s="8" customFormat="1" ht="16.5" customHeight="1" x14ac:dyDescent="0.2">
      <c r="A65" s="244"/>
      <c r="B65" s="244"/>
      <c r="R65" s="245" t="s">
        <v>84</v>
      </c>
      <c r="S65" s="246">
        <f>C61+E61+G61+I61+K61+M61+O61</f>
        <v>3258</v>
      </c>
      <c r="T65" s="119"/>
    </row>
    <row r="66" spans="1:29" s="8" customFormat="1" x14ac:dyDescent="0.2">
      <c r="A66" s="244"/>
      <c r="B66" s="244"/>
      <c r="D66" s="110"/>
      <c r="E66" s="556"/>
      <c r="F66" s="556"/>
      <c r="G66" s="556"/>
      <c r="H66" s="556"/>
      <c r="I66" s="556"/>
      <c r="J66" s="556"/>
      <c r="K66" s="556"/>
      <c r="L66" s="556"/>
      <c r="R66" s="247" t="s">
        <v>85</v>
      </c>
      <c r="S66" s="248">
        <f>D61+F61+H61+J61+L61+N61+P61+Q61</f>
        <v>6765</v>
      </c>
      <c r="T66" s="119"/>
    </row>
    <row r="67" spans="1:29" x14ac:dyDescent="0.2">
      <c r="D67" s="118"/>
      <c r="E67" s="557"/>
      <c r="F67" s="557"/>
      <c r="G67" s="557"/>
      <c r="H67" s="557"/>
      <c r="I67" s="557"/>
      <c r="J67" s="557"/>
      <c r="K67" s="557"/>
      <c r="L67" s="557"/>
    </row>
    <row r="68" spans="1:29" x14ac:dyDescent="0.2">
      <c r="D68" s="118"/>
      <c r="E68" s="557"/>
      <c r="F68" s="557"/>
      <c r="G68" s="557"/>
      <c r="H68" s="557"/>
      <c r="I68" s="557"/>
      <c r="J68" s="557"/>
      <c r="K68" s="557"/>
      <c r="L68" s="557"/>
    </row>
    <row r="69" spans="1:29" x14ac:dyDescent="0.2">
      <c r="A69" s="551" t="s">
        <v>46</v>
      </c>
      <c r="B69" s="551"/>
    </row>
    <row r="70" spans="1:29" s="8" customFormat="1" ht="16.5" customHeight="1" x14ac:dyDescent="0.2">
      <c r="A70" s="553" t="s">
        <v>86</v>
      </c>
      <c r="B70" s="554"/>
      <c r="C70" s="547" t="s">
        <v>34</v>
      </c>
      <c r="D70" s="547"/>
      <c r="E70" s="547" t="s">
        <v>35</v>
      </c>
      <c r="F70" s="547"/>
      <c r="G70" s="547" t="s">
        <v>36</v>
      </c>
      <c r="H70" s="547"/>
      <c r="I70" s="547" t="s">
        <v>37</v>
      </c>
      <c r="J70" s="547"/>
      <c r="K70" s="547" t="s">
        <v>38</v>
      </c>
      <c r="L70" s="547"/>
      <c r="M70" s="547" t="s">
        <v>40</v>
      </c>
      <c r="N70" s="547"/>
      <c r="O70" s="547" t="s">
        <v>41</v>
      </c>
      <c r="P70" s="547"/>
      <c r="T70" s="119"/>
    </row>
    <row r="71" spans="1:29" s="8" customFormat="1" ht="16.5" customHeight="1" x14ac:dyDescent="0.2">
      <c r="A71" s="120"/>
      <c r="B71" s="121" t="s">
        <v>47</v>
      </c>
      <c r="C71" s="548">
        <v>46034</v>
      </c>
      <c r="D71" s="549"/>
      <c r="E71" s="548">
        <v>46035</v>
      </c>
      <c r="F71" s="549"/>
      <c r="G71" s="548">
        <v>46036</v>
      </c>
      <c r="H71" s="549"/>
      <c r="I71" s="548">
        <v>46037</v>
      </c>
      <c r="J71" s="549"/>
      <c r="K71" s="548">
        <v>46038</v>
      </c>
      <c r="L71" s="549"/>
      <c r="M71" s="548">
        <v>46039</v>
      </c>
      <c r="N71" s="549"/>
      <c r="O71" s="548">
        <v>46040</v>
      </c>
      <c r="P71" s="549"/>
      <c r="Q71" s="122"/>
      <c r="R71" s="123"/>
      <c r="S71" s="124"/>
      <c r="U71" s="119"/>
    </row>
    <row r="72" spans="1:29" s="8" customFormat="1" ht="16.5" customHeight="1" x14ac:dyDescent="0.2">
      <c r="A72" s="120"/>
      <c r="B72" s="120" t="s">
        <v>48</v>
      </c>
      <c r="C72" s="125" t="s">
        <v>4</v>
      </c>
      <c r="D72" s="125" t="s">
        <v>5</v>
      </c>
      <c r="E72" s="125" t="s">
        <v>4</v>
      </c>
      <c r="F72" s="125" t="s">
        <v>5</v>
      </c>
      <c r="G72" s="125" t="s">
        <v>4</v>
      </c>
      <c r="H72" s="125" t="s">
        <v>5</v>
      </c>
      <c r="I72" s="125" t="s">
        <v>4</v>
      </c>
      <c r="J72" s="125" t="s">
        <v>5</v>
      </c>
      <c r="K72" s="125" t="s">
        <v>4</v>
      </c>
      <c r="L72" s="125" t="s">
        <v>5</v>
      </c>
      <c r="M72" s="125" t="s">
        <v>4</v>
      </c>
      <c r="N72" s="125" t="s">
        <v>5</v>
      </c>
      <c r="O72" s="125" t="s">
        <v>4</v>
      </c>
      <c r="P72" s="125" t="s">
        <v>5</v>
      </c>
      <c r="Q72" s="126" t="s">
        <v>49</v>
      </c>
      <c r="R72" s="123" t="s">
        <v>50</v>
      </c>
      <c r="S72" s="127" t="s">
        <v>51</v>
      </c>
      <c r="T72" s="128" t="s">
        <v>52</v>
      </c>
      <c r="U72" s="129" t="s">
        <v>53</v>
      </c>
    </row>
    <row r="73" spans="1:29" s="8" customFormat="1" ht="16.5" customHeight="1" x14ac:dyDescent="0.2">
      <c r="A73" s="130" t="s">
        <v>54</v>
      </c>
      <c r="B73" s="131">
        <v>250</v>
      </c>
      <c r="C73" s="132"/>
      <c r="D73" s="133"/>
      <c r="E73" s="133"/>
      <c r="F73" s="133"/>
      <c r="G73" s="134"/>
      <c r="H73" s="134"/>
      <c r="I73" s="133"/>
      <c r="J73" s="133"/>
      <c r="K73" s="133"/>
      <c r="L73" s="133"/>
      <c r="M73" s="133"/>
      <c r="N73" s="133"/>
      <c r="O73" s="133"/>
      <c r="P73" s="133"/>
      <c r="Q73" s="135">
        <v>250</v>
      </c>
      <c r="R73" s="136">
        <f>SUM(C73:Q73)</f>
        <v>250</v>
      </c>
      <c r="S73" s="123"/>
      <c r="T73" s="137"/>
      <c r="U73" s="138">
        <f t="shared" ref="U73:U79" si="9">R73-S73-T73</f>
        <v>250</v>
      </c>
      <c r="V73" s="139"/>
      <c r="W73" s="110"/>
      <c r="X73" s="110"/>
      <c r="Y73" s="110"/>
      <c r="Z73" s="110"/>
      <c r="AA73" s="110"/>
      <c r="AB73" s="110"/>
    </row>
    <row r="74" spans="1:29" s="147" customFormat="1" ht="16.5" customHeight="1" x14ac:dyDescent="0.2">
      <c r="A74" s="130" t="s">
        <v>55</v>
      </c>
      <c r="B74" s="330" t="s">
        <v>87</v>
      </c>
      <c r="C74" s="140">
        <v>120</v>
      </c>
      <c r="D74" s="141">
        <v>130</v>
      </c>
      <c r="E74" s="133"/>
      <c r="F74" s="133"/>
      <c r="G74" s="142"/>
      <c r="H74" s="142"/>
      <c r="I74" s="140">
        <v>120</v>
      </c>
      <c r="J74" s="141">
        <v>130</v>
      </c>
      <c r="K74" s="140">
        <v>120</v>
      </c>
      <c r="L74" s="141">
        <v>130</v>
      </c>
      <c r="M74" s="140">
        <v>120</v>
      </c>
      <c r="N74" s="141">
        <v>130</v>
      </c>
      <c r="O74" s="140">
        <v>120</v>
      </c>
      <c r="P74" s="141">
        <v>130</v>
      </c>
      <c r="Q74" s="135"/>
      <c r="R74" s="136">
        <f>SUM(C74:Q74)</f>
        <v>1250</v>
      </c>
      <c r="S74" s="143">
        <v>962</v>
      </c>
      <c r="T74" s="137"/>
      <c r="U74" s="138">
        <f t="shared" si="9"/>
        <v>288</v>
      </c>
      <c r="V74" s="550"/>
      <c r="W74" s="541"/>
      <c r="X74" s="541"/>
      <c r="Y74" s="541"/>
      <c r="Z74" s="144"/>
      <c r="AA74" s="145"/>
      <c r="AB74" s="146"/>
    </row>
    <row r="75" spans="1:29" s="147" customFormat="1" ht="16.5" customHeight="1" x14ac:dyDescent="0.2">
      <c r="A75" s="130" t="s">
        <v>56</v>
      </c>
      <c r="B75" s="330" t="s">
        <v>88</v>
      </c>
      <c r="C75" s="148">
        <v>115</v>
      </c>
      <c r="D75" s="141">
        <v>125</v>
      </c>
      <c r="E75" s="148">
        <v>115</v>
      </c>
      <c r="F75" s="141">
        <v>125</v>
      </c>
      <c r="G75" s="148">
        <v>115</v>
      </c>
      <c r="H75" s="141">
        <v>125</v>
      </c>
      <c r="I75" s="145"/>
      <c r="J75" s="395"/>
      <c r="K75" s="148">
        <v>115</v>
      </c>
      <c r="L75" s="141">
        <v>125</v>
      </c>
      <c r="M75" s="148">
        <v>115</v>
      </c>
      <c r="N75" s="141">
        <v>125</v>
      </c>
      <c r="O75" s="149"/>
      <c r="P75" s="150"/>
      <c r="Q75" s="151"/>
      <c r="R75" s="136">
        <f>SUM(C75:Q75)</f>
        <v>1200</v>
      </c>
      <c r="S75" s="152"/>
      <c r="T75" s="137"/>
      <c r="U75" s="138">
        <f t="shared" si="9"/>
        <v>1200</v>
      </c>
      <c r="V75" s="153" t="s">
        <v>57</v>
      </c>
      <c r="W75" s="153"/>
      <c r="X75" s="154">
        <f>U75-463</f>
        <v>737</v>
      </c>
      <c r="Y75" s="155"/>
      <c r="Z75" s="144"/>
      <c r="AA75" s="145"/>
      <c r="AB75" s="145"/>
    </row>
    <row r="76" spans="1:29" s="8" customFormat="1" ht="16.5" customHeight="1" x14ac:dyDescent="0.2">
      <c r="A76" s="156" t="s">
        <v>58</v>
      </c>
      <c r="B76" s="330" t="s">
        <v>64</v>
      </c>
      <c r="C76" s="157">
        <v>95</v>
      </c>
      <c r="D76" s="158">
        <v>120</v>
      </c>
      <c r="E76" s="159">
        <v>95</v>
      </c>
      <c r="F76" s="158">
        <v>120</v>
      </c>
      <c r="G76" s="159">
        <v>95</v>
      </c>
      <c r="H76" s="158">
        <v>120</v>
      </c>
      <c r="I76" s="402">
        <v>95</v>
      </c>
      <c r="J76" s="158">
        <v>120</v>
      </c>
      <c r="K76" s="159">
        <v>95</v>
      </c>
      <c r="L76" s="158">
        <v>120</v>
      </c>
      <c r="M76" s="160"/>
      <c r="N76" s="160"/>
      <c r="O76" s="160"/>
      <c r="P76" s="160"/>
      <c r="Q76" s="161"/>
      <c r="R76" s="136">
        <f>SUM(C76:Q76)</f>
        <v>1075</v>
      </c>
      <c r="S76" s="143">
        <v>1145</v>
      </c>
      <c r="T76" s="162"/>
      <c r="U76" s="163">
        <f t="shared" si="9"/>
        <v>-70</v>
      </c>
      <c r="V76" s="536" t="s">
        <v>60</v>
      </c>
      <c r="W76" s="537"/>
      <c r="X76" s="537"/>
      <c r="Y76" s="164"/>
      <c r="Z76" s="110"/>
      <c r="AA76" s="110"/>
      <c r="AB76" s="165"/>
      <c r="AC76" s="110"/>
    </row>
    <row r="77" spans="1:29" s="8" customFormat="1" ht="16.5" customHeight="1" x14ac:dyDescent="0.2">
      <c r="A77" s="156" t="s">
        <v>61</v>
      </c>
      <c r="B77" s="330" t="s">
        <v>59</v>
      </c>
      <c r="C77" s="166">
        <v>90</v>
      </c>
      <c r="D77" s="133"/>
      <c r="E77" s="133"/>
      <c r="F77" s="158">
        <v>115</v>
      </c>
      <c r="G77" s="134"/>
      <c r="H77" s="158">
        <v>115</v>
      </c>
      <c r="I77" s="133"/>
      <c r="J77" s="158">
        <v>115</v>
      </c>
      <c r="K77" s="396"/>
      <c r="L77" s="158">
        <v>115</v>
      </c>
      <c r="M77" s="166">
        <v>90</v>
      </c>
      <c r="N77" s="158">
        <v>115</v>
      </c>
      <c r="O77" s="166">
        <v>90</v>
      </c>
      <c r="P77" s="141">
        <v>115</v>
      </c>
      <c r="Q77" s="135"/>
      <c r="R77" s="136">
        <f>SUM(C77:Q77)</f>
        <v>960</v>
      </c>
      <c r="S77" s="127"/>
      <c r="T77" s="167"/>
      <c r="U77" s="138">
        <f t="shared" si="9"/>
        <v>960</v>
      </c>
      <c r="W77" s="110"/>
      <c r="X77" s="110"/>
      <c r="Y77" s="110"/>
      <c r="Z77" s="110"/>
      <c r="AA77" s="110"/>
      <c r="AB77" s="110"/>
    </row>
    <row r="78" spans="1:29" s="8" customFormat="1" ht="16.5" customHeight="1" x14ac:dyDescent="0.2">
      <c r="A78" s="168" t="s">
        <v>63</v>
      </c>
      <c r="B78" s="331" t="s">
        <v>89</v>
      </c>
      <c r="C78" s="169"/>
      <c r="D78" s="160"/>
      <c r="E78" s="132"/>
      <c r="G78" s="134"/>
      <c r="H78" s="170">
        <v>120</v>
      </c>
      <c r="I78" s="395"/>
      <c r="J78" s="110"/>
      <c r="K78" s="397"/>
      <c r="L78" s="171">
        <v>120</v>
      </c>
      <c r="M78" s="172"/>
      <c r="N78" s="158">
        <v>120</v>
      </c>
      <c r="O78" s="148">
        <v>100</v>
      </c>
      <c r="P78" s="141">
        <v>120</v>
      </c>
      <c r="Q78" s="135"/>
      <c r="R78" s="136">
        <f t="shared" ref="R78:R82" si="10">SUM(C78:Q78)</f>
        <v>580</v>
      </c>
      <c r="S78" s="143">
        <v>250</v>
      </c>
      <c r="T78" s="137"/>
      <c r="U78" s="138">
        <f t="shared" si="9"/>
        <v>330</v>
      </c>
      <c r="V78" s="538"/>
      <c r="W78" s="539"/>
      <c r="X78" s="539"/>
      <c r="Y78" s="539"/>
      <c r="Z78" s="173"/>
      <c r="AA78" s="174"/>
      <c r="AB78" s="175"/>
      <c r="AC78" s="165"/>
    </row>
    <row r="79" spans="1:29" s="8" customFormat="1" ht="16.5" customHeight="1" x14ac:dyDescent="0.2">
      <c r="A79" s="156" t="s">
        <v>65</v>
      </c>
      <c r="B79" s="131" t="s">
        <v>62</v>
      </c>
      <c r="C79" s="176"/>
      <c r="D79" s="133"/>
      <c r="E79" s="133"/>
      <c r="F79" s="133"/>
      <c r="G79" s="134"/>
      <c r="H79" s="134"/>
      <c r="I79" s="398"/>
      <c r="J79" s="396"/>
      <c r="K79" s="133"/>
      <c r="L79" s="133"/>
      <c r="M79" s="169"/>
      <c r="N79" s="158">
        <v>115</v>
      </c>
      <c r="O79" s="169"/>
      <c r="P79" s="158">
        <v>115</v>
      </c>
      <c r="Q79" s="177"/>
      <c r="R79" s="136">
        <f t="shared" si="10"/>
        <v>230</v>
      </c>
      <c r="S79" s="178"/>
      <c r="T79" s="137"/>
      <c r="U79" s="138">
        <f t="shared" si="9"/>
        <v>230</v>
      </c>
      <c r="V79" s="110"/>
      <c r="W79" s="110"/>
      <c r="X79" s="165"/>
      <c r="Y79" s="110"/>
      <c r="Z79" s="110"/>
      <c r="AA79" s="110"/>
      <c r="AB79" s="110"/>
    </row>
    <row r="80" spans="1:29" s="8" customFormat="1" ht="16.5" customHeight="1" x14ac:dyDescent="0.2">
      <c r="A80" s="168" t="s">
        <v>159</v>
      </c>
      <c r="B80" s="331" t="s">
        <v>94</v>
      </c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79"/>
      <c r="R80" s="136">
        <f t="shared" si="10"/>
        <v>0</v>
      </c>
      <c r="S80" s="119"/>
      <c r="T80" s="137"/>
      <c r="U80" s="138">
        <f>R80-S80-T80</f>
        <v>0</v>
      </c>
      <c r="V80" s="180"/>
      <c r="W80" s="181"/>
      <c r="X80" s="182"/>
      <c r="Y80" s="181"/>
      <c r="Z80" s="183"/>
      <c r="AA80" s="110"/>
      <c r="AB80" s="110"/>
    </row>
    <row r="81" spans="1:29" x14ac:dyDescent="0.2">
      <c r="A81" s="184" t="s">
        <v>67</v>
      </c>
      <c r="B81" s="185">
        <v>120</v>
      </c>
      <c r="C81" s="186"/>
      <c r="D81" s="186"/>
      <c r="E81" s="186"/>
      <c r="F81" s="186"/>
      <c r="G81" s="186"/>
      <c r="H81" s="187"/>
      <c r="I81" s="399"/>
      <c r="J81" s="399"/>
      <c r="K81" s="399"/>
      <c r="L81" s="171">
        <v>120</v>
      </c>
      <c r="M81" s="187"/>
      <c r="N81" s="186"/>
      <c r="O81" s="188"/>
      <c r="P81" s="189"/>
      <c r="Q81" s="135"/>
      <c r="R81" s="136">
        <f t="shared" si="10"/>
        <v>120</v>
      </c>
      <c r="S81" s="190"/>
      <c r="T81" s="190"/>
      <c r="U81" s="138">
        <f>R81-S81-T81</f>
        <v>120</v>
      </c>
      <c r="X81" s="540"/>
      <c r="Y81" s="540"/>
      <c r="Z81" s="540"/>
      <c r="AA81" s="540"/>
      <c r="AB81" s="118"/>
      <c r="AC81" s="118"/>
    </row>
    <row r="82" spans="1:29" s="8" customFormat="1" ht="16.5" customHeight="1" thickBot="1" x14ac:dyDescent="0.25">
      <c r="A82" s="191" t="s">
        <v>68</v>
      </c>
      <c r="B82" s="192" t="s">
        <v>90</v>
      </c>
      <c r="C82" s="193"/>
      <c r="D82" s="194"/>
      <c r="E82" s="193"/>
      <c r="F82" s="403">
        <v>120</v>
      </c>
      <c r="G82" s="193"/>
      <c r="H82" s="193"/>
      <c r="I82" s="193"/>
      <c r="J82" s="403">
        <v>120</v>
      </c>
      <c r="K82" s="193"/>
      <c r="L82" s="193"/>
      <c r="M82" s="193"/>
      <c r="N82" s="403">
        <v>120</v>
      </c>
      <c r="O82" s="193"/>
      <c r="P82" s="403">
        <v>120</v>
      </c>
      <c r="Q82" s="196"/>
      <c r="R82" s="197">
        <f t="shared" si="10"/>
        <v>480</v>
      </c>
      <c r="S82" s="198"/>
      <c r="T82" s="193"/>
      <c r="U82" s="199">
        <f t="shared" ref="U82:U90" si="11">R82-S82-T82</f>
        <v>480</v>
      </c>
      <c r="V82" s="110"/>
      <c r="W82" s="541"/>
      <c r="X82" s="541"/>
      <c r="Y82" s="110"/>
      <c r="Z82" s="110"/>
      <c r="AA82" s="110"/>
      <c r="AB82" s="110"/>
    </row>
    <row r="83" spans="1:29" s="8" customFormat="1" ht="16.5" customHeight="1" x14ac:dyDescent="0.2">
      <c r="A83" s="200" t="s">
        <v>69</v>
      </c>
      <c r="B83" s="332" t="s">
        <v>91</v>
      </c>
      <c r="C83" s="202"/>
      <c r="D83" s="202"/>
      <c r="E83" s="157">
        <v>110</v>
      </c>
      <c r="F83" s="203">
        <v>130</v>
      </c>
      <c r="G83" s="157">
        <v>110</v>
      </c>
      <c r="H83" s="213"/>
      <c r="I83" s="157">
        <v>110</v>
      </c>
      <c r="J83" s="203">
        <v>130</v>
      </c>
      <c r="K83" s="157">
        <v>110</v>
      </c>
      <c r="L83" s="203">
        <v>130</v>
      </c>
      <c r="M83" s="157">
        <v>110</v>
      </c>
      <c r="N83" s="203">
        <v>130</v>
      </c>
      <c r="O83" s="204"/>
      <c r="P83" s="204"/>
      <c r="Q83" s="205"/>
      <c r="R83" s="206">
        <f>SUM(C83:Q83)</f>
        <v>1070</v>
      </c>
      <c r="S83" s="207">
        <v>800</v>
      </c>
      <c r="T83" s="208"/>
      <c r="U83" s="209">
        <f t="shared" si="11"/>
        <v>270</v>
      </c>
      <c r="V83" s="542"/>
      <c r="W83" s="543"/>
      <c r="X83" s="543"/>
      <c r="Y83" s="543"/>
      <c r="Z83" s="175"/>
      <c r="AA83" s="110"/>
      <c r="AB83" s="110"/>
    </row>
    <row r="84" spans="1:29" s="8" customFormat="1" ht="16.5" customHeight="1" x14ac:dyDescent="0.2">
      <c r="A84" s="168" t="s">
        <v>70</v>
      </c>
      <c r="B84" s="331" t="s">
        <v>92</v>
      </c>
      <c r="C84" s="132"/>
      <c r="D84" s="210">
        <v>100</v>
      </c>
      <c r="E84" s="132"/>
      <c r="F84" s="132"/>
      <c r="G84" s="132"/>
      <c r="H84" s="210">
        <v>100</v>
      </c>
      <c r="I84" s="133"/>
      <c r="J84" s="401"/>
      <c r="K84" s="133"/>
      <c r="L84" s="203">
        <v>100</v>
      </c>
      <c r="M84" s="133"/>
      <c r="N84" s="203">
        <v>100</v>
      </c>
      <c r="O84" s="133"/>
      <c r="P84" s="133"/>
      <c r="Q84" s="211"/>
      <c r="R84" s="206">
        <f t="shared" ref="R84:R90" si="12">SUM(C84:Q84)</f>
        <v>400</v>
      </c>
      <c r="S84" s="212"/>
      <c r="T84" s="137"/>
      <c r="U84" s="138">
        <f t="shared" si="11"/>
        <v>400</v>
      </c>
      <c r="W84" s="110"/>
      <c r="X84" s="110"/>
      <c r="Y84" s="110"/>
      <c r="Z84" s="110"/>
      <c r="AA84" s="110"/>
      <c r="AB84" s="110"/>
    </row>
    <row r="85" spans="1:29" s="8" customFormat="1" ht="16.5" customHeight="1" x14ac:dyDescent="0.2">
      <c r="A85" s="200" t="s">
        <v>71</v>
      </c>
      <c r="B85" s="332" t="s">
        <v>92</v>
      </c>
      <c r="C85" s="213"/>
      <c r="D85" s="210">
        <v>100</v>
      </c>
      <c r="E85" s="213"/>
      <c r="F85" s="213"/>
      <c r="G85" s="213"/>
      <c r="H85" s="210">
        <v>100</v>
      </c>
      <c r="I85" s="213"/>
      <c r="J85" s="110"/>
      <c r="K85" s="213"/>
      <c r="L85" s="203">
        <v>100</v>
      </c>
      <c r="M85" s="213"/>
      <c r="N85" s="210">
        <v>100</v>
      </c>
      <c r="O85" s="213"/>
      <c r="P85" s="213"/>
      <c r="Q85" s="201"/>
      <c r="R85" s="206">
        <f t="shared" si="12"/>
        <v>400</v>
      </c>
      <c r="S85" s="212"/>
      <c r="T85" s="208"/>
      <c r="U85" s="209">
        <f t="shared" si="11"/>
        <v>400</v>
      </c>
      <c r="V85" s="146"/>
      <c r="W85" s="145"/>
      <c r="X85" s="214"/>
      <c r="Y85" s="214"/>
      <c r="Z85" s="214"/>
      <c r="AA85" s="110"/>
      <c r="AB85" s="110"/>
    </row>
    <row r="86" spans="1:29" s="8" customFormat="1" ht="16.5" customHeight="1" x14ac:dyDescent="0.2">
      <c r="A86" s="168" t="s">
        <v>72</v>
      </c>
      <c r="B86" s="331" t="s">
        <v>93</v>
      </c>
      <c r="C86" s="213"/>
      <c r="D86" s="213"/>
      <c r="E86" s="213"/>
      <c r="F86" s="132"/>
      <c r="G86" s="132"/>
      <c r="H86" s="210">
        <v>97</v>
      </c>
      <c r="I86" s="132"/>
      <c r="J86" s="132"/>
      <c r="K86" s="157">
        <v>86</v>
      </c>
      <c r="L86" s="210">
        <v>97</v>
      </c>
      <c r="M86" s="215"/>
      <c r="N86" s="215"/>
      <c r="O86" s="157">
        <v>86</v>
      </c>
      <c r="P86" s="210">
        <v>97</v>
      </c>
      <c r="Q86" s="135"/>
      <c r="R86" s="206">
        <f t="shared" si="12"/>
        <v>463</v>
      </c>
      <c r="S86" s="143">
        <v>250</v>
      </c>
      <c r="T86" s="137"/>
      <c r="U86" s="138">
        <f t="shared" si="11"/>
        <v>213</v>
      </c>
      <c r="W86" s="110"/>
      <c r="X86" s="110"/>
      <c r="Y86" s="165"/>
      <c r="Z86" s="110"/>
      <c r="AA86" s="110"/>
      <c r="AB86" s="110"/>
    </row>
    <row r="87" spans="1:29" x14ac:dyDescent="0.2">
      <c r="A87" s="216" t="s">
        <v>74</v>
      </c>
      <c r="B87" s="331" t="s">
        <v>93</v>
      </c>
      <c r="C87" s="157">
        <v>86</v>
      </c>
      <c r="D87" s="210">
        <v>97</v>
      </c>
      <c r="E87" s="157">
        <v>86</v>
      </c>
      <c r="F87" s="210">
        <v>97</v>
      </c>
      <c r="G87" s="157">
        <v>86</v>
      </c>
      <c r="H87" s="134"/>
      <c r="I87" s="157">
        <v>86</v>
      </c>
      <c r="J87" s="210">
        <v>97</v>
      </c>
      <c r="K87" s="399"/>
      <c r="M87" s="187"/>
      <c r="N87" s="187"/>
      <c r="O87" s="157">
        <v>86</v>
      </c>
      <c r="Q87" s="205"/>
      <c r="R87" s="206">
        <f t="shared" si="12"/>
        <v>721</v>
      </c>
      <c r="S87" s="190"/>
      <c r="T87" s="190"/>
      <c r="U87" s="138">
        <f t="shared" si="11"/>
        <v>721</v>
      </c>
    </row>
    <row r="88" spans="1:29" s="8" customFormat="1" ht="16.5" customHeight="1" x14ac:dyDescent="0.2">
      <c r="A88" s="168" t="s">
        <v>75</v>
      </c>
      <c r="B88" s="331" t="s">
        <v>92</v>
      </c>
      <c r="C88" s="215"/>
      <c r="D88" s="215"/>
      <c r="E88" s="133"/>
      <c r="F88" s="133"/>
      <c r="G88" s="134"/>
      <c r="H88" s="134"/>
      <c r="I88" s="134"/>
      <c r="J88" s="133"/>
      <c r="K88" s="133"/>
      <c r="L88" s="133"/>
      <c r="M88" s="133"/>
      <c r="N88" s="133"/>
      <c r="O88" s="133"/>
      <c r="P88" s="210">
        <v>100</v>
      </c>
      <c r="Q88" s="218" t="s">
        <v>76</v>
      </c>
      <c r="R88" s="206">
        <f t="shared" si="12"/>
        <v>100</v>
      </c>
      <c r="S88" s="207"/>
      <c r="T88" s="137"/>
      <c r="U88" s="138">
        <f t="shared" si="11"/>
        <v>100</v>
      </c>
      <c r="V88" s="219" t="s">
        <v>77</v>
      </c>
      <c r="W88" s="220"/>
      <c r="X88" s="220"/>
      <c r="Y88" s="220"/>
      <c r="Z88" s="221"/>
      <c r="AA88"/>
      <c r="AB88" s="110"/>
    </row>
    <row r="89" spans="1:29" s="8" customFormat="1" ht="16.5" customHeight="1" x14ac:dyDescent="0.2">
      <c r="A89" s="222" t="s">
        <v>78</v>
      </c>
      <c r="B89" s="333" t="s">
        <v>92</v>
      </c>
      <c r="C89" s="215"/>
      <c r="D89" s="215"/>
      <c r="E89" s="223"/>
      <c r="F89" s="215"/>
      <c r="G89" s="224"/>
      <c r="H89" s="224"/>
      <c r="I89" s="225"/>
      <c r="J89" s="215"/>
      <c r="K89" s="225"/>
      <c r="L89" s="215"/>
      <c r="M89" s="215"/>
      <c r="N89" s="225"/>
      <c r="O89" s="225"/>
      <c r="P89" s="210">
        <v>100</v>
      </c>
      <c r="Q89" s="226"/>
      <c r="R89" s="206">
        <f t="shared" si="12"/>
        <v>100</v>
      </c>
      <c r="S89" s="227"/>
      <c r="T89" s="228"/>
      <c r="U89" s="163">
        <f t="shared" si="11"/>
        <v>100</v>
      </c>
      <c r="W89" s="217"/>
      <c r="X89" s="217"/>
      <c r="Y89" s="217"/>
      <c r="Z89" s="110"/>
      <c r="AA89"/>
    </row>
    <row r="90" spans="1:29" x14ac:dyDescent="0.2">
      <c r="A90" s="216" t="s">
        <v>79</v>
      </c>
      <c r="B90" s="331" t="s">
        <v>93</v>
      </c>
      <c r="D90" s="158">
        <v>110</v>
      </c>
      <c r="E90" s="187"/>
      <c r="F90" s="210">
        <v>97</v>
      </c>
      <c r="G90" s="187"/>
      <c r="H90" s="187"/>
      <c r="I90" s="399"/>
      <c r="J90" s="210">
        <v>97</v>
      </c>
      <c r="K90" s="399"/>
      <c r="L90" s="399"/>
      <c r="M90" s="383">
        <v>86</v>
      </c>
      <c r="N90" s="210">
        <v>97</v>
      </c>
      <c r="O90" s="215"/>
      <c r="P90" s="225"/>
      <c r="Q90" s="205"/>
      <c r="R90" s="206">
        <f t="shared" si="12"/>
        <v>487</v>
      </c>
      <c r="S90" s="190"/>
      <c r="T90" s="190"/>
      <c r="U90" s="138">
        <f t="shared" si="11"/>
        <v>487</v>
      </c>
    </row>
    <row r="91" spans="1:29" s="8" customFormat="1" ht="16.5" customHeight="1" x14ac:dyDescent="0.2">
      <c r="A91" s="216" t="s">
        <v>73</v>
      </c>
      <c r="B91" s="331" t="s">
        <v>93</v>
      </c>
      <c r="C91" s="215"/>
      <c r="E91" s="215"/>
      <c r="F91" s="215"/>
      <c r="G91" s="215"/>
      <c r="H91" s="215"/>
      <c r="I91" s="215"/>
      <c r="J91" s="215"/>
      <c r="K91" s="215"/>
      <c r="L91" s="210">
        <v>60</v>
      </c>
      <c r="M91" s="215"/>
      <c r="N91" s="215"/>
      <c r="O91" s="215"/>
      <c r="P91" s="215"/>
      <c r="Q91" s="205"/>
      <c r="R91" s="206">
        <f>SUM(C91:Q91)</f>
        <v>60</v>
      </c>
      <c r="S91" s="127"/>
      <c r="T91" s="137"/>
      <c r="U91" s="138">
        <f>R91-S91-T91</f>
        <v>60</v>
      </c>
      <c r="W91" s="217"/>
      <c r="X91" s="217"/>
      <c r="Y91" s="217"/>
      <c r="Z91" s="110"/>
    </row>
    <row r="92" spans="1:29" x14ac:dyDescent="0.2">
      <c r="A92" s="216"/>
      <c r="B92" s="360"/>
      <c r="C92" s="187"/>
      <c r="D92" s="187"/>
      <c r="E92" s="187"/>
      <c r="F92" s="187"/>
      <c r="G92" s="187"/>
      <c r="H92" s="187"/>
      <c r="I92" s="399"/>
      <c r="J92" s="399"/>
      <c r="K92" s="399"/>
      <c r="L92" s="187"/>
      <c r="M92" s="187"/>
      <c r="N92" s="187"/>
      <c r="O92" s="187"/>
      <c r="P92" s="187"/>
      <c r="Q92" s="205"/>
      <c r="R92" s="206">
        <f t="shared" ref="R92:R93" si="13">SUM(C92:Q92)</f>
        <v>0</v>
      </c>
      <c r="S92" s="190"/>
      <c r="T92" s="190"/>
      <c r="U92" s="138"/>
    </row>
    <row r="93" spans="1:29" s="8" customFormat="1" ht="16.5" customHeight="1" x14ac:dyDescent="0.2">
      <c r="A93" s="168"/>
      <c r="B93" s="360"/>
      <c r="C93" s="133"/>
      <c r="D93" s="133"/>
      <c r="E93" s="133"/>
      <c r="F93" s="133"/>
      <c r="G93" s="134"/>
      <c r="H93" s="134"/>
      <c r="I93" s="133"/>
      <c r="J93" s="133"/>
      <c r="K93" s="133"/>
      <c r="L93" s="133"/>
      <c r="M93" s="133"/>
      <c r="N93" s="133"/>
      <c r="O93" s="213"/>
      <c r="P93" s="213"/>
      <c r="Q93" s="211"/>
      <c r="R93" s="206">
        <f t="shared" si="13"/>
        <v>0</v>
      </c>
      <c r="S93" s="212"/>
      <c r="T93" s="137"/>
      <c r="U93" s="138"/>
      <c r="V93" s="182"/>
      <c r="W93" s="181"/>
      <c r="Y93" s="110"/>
      <c r="Z93" s="110"/>
      <c r="AA93" s="110"/>
      <c r="AB93" s="110"/>
    </row>
    <row r="94" spans="1:29" s="8" customFormat="1" ht="16.5" customHeight="1" x14ac:dyDescent="0.2">
      <c r="A94" s="229"/>
      <c r="B94" s="229"/>
      <c r="C94" s="230">
        <f>SUM(C73:C92)</f>
        <v>506</v>
      </c>
      <c r="D94" s="230">
        <f>SUM(D73:D92)</f>
        <v>782</v>
      </c>
      <c r="E94" s="230">
        <f>SUM(E73:E92)</f>
        <v>406</v>
      </c>
      <c r="F94" s="230">
        <f>SUM(F73:F92)</f>
        <v>804</v>
      </c>
      <c r="G94" s="230">
        <f>SUM(G73:G93)</f>
        <v>406</v>
      </c>
      <c r="H94" s="230">
        <f>SUM(H73:H92)</f>
        <v>777</v>
      </c>
      <c r="I94" s="230">
        <f>SUM(I73:I92)</f>
        <v>411</v>
      </c>
      <c r="J94" s="230">
        <f>SUM(J73:J92)</f>
        <v>809</v>
      </c>
      <c r="K94" s="230">
        <f>SUM(K73:K92)</f>
        <v>526</v>
      </c>
      <c r="L94" s="230">
        <f>SUM(L73:L93)</f>
        <v>1217</v>
      </c>
      <c r="M94" s="230">
        <f>SUM(M73:M92)</f>
        <v>521</v>
      </c>
      <c r="N94" s="230">
        <f>SUM(N73:N93)</f>
        <v>1152</v>
      </c>
      <c r="O94" s="230">
        <f>SUM(O73:O93)</f>
        <v>482</v>
      </c>
      <c r="P94" s="230">
        <f>SUM(P73:P93)</f>
        <v>897</v>
      </c>
      <c r="Q94" s="230">
        <f>SUM(Q73:Q92)</f>
        <v>250</v>
      </c>
      <c r="R94" s="231">
        <f>SUM(R73:R93)</f>
        <v>9946</v>
      </c>
      <c r="S94" s="230">
        <f>SUM(S74:S93)</f>
        <v>3407</v>
      </c>
      <c r="T94" s="232">
        <f>SUM(T73:T93)</f>
        <v>0</v>
      </c>
      <c r="U94" s="233">
        <f>SUM(U73:U93)</f>
        <v>6539</v>
      </c>
    </row>
    <row r="95" spans="1:29" s="8" customFormat="1" ht="16.5" customHeight="1" x14ac:dyDescent="0.2">
      <c r="A95" s="160"/>
      <c r="B95" s="234"/>
      <c r="C95" s="235"/>
      <c r="D95" s="235">
        <f>C94+D94</f>
        <v>1288</v>
      </c>
      <c r="E95" s="235"/>
      <c r="F95" s="235">
        <f>E94+F94</f>
        <v>1210</v>
      </c>
      <c r="G95" s="235"/>
      <c r="H95" s="235">
        <f>G94+H94</f>
        <v>1183</v>
      </c>
      <c r="I95" s="235"/>
      <c r="J95" s="235">
        <f>I94+J94</f>
        <v>1220</v>
      </c>
      <c r="K95" s="235"/>
      <c r="L95" s="235">
        <f>K94+L94</f>
        <v>1743</v>
      </c>
      <c r="M95" s="235"/>
      <c r="N95" s="235">
        <f>M94+N94</f>
        <v>1673</v>
      </c>
      <c r="O95" s="235"/>
      <c r="P95" s="235">
        <f>O94+P94</f>
        <v>1379</v>
      </c>
      <c r="Q95" s="236"/>
      <c r="R95" s="237"/>
      <c r="S95" s="544">
        <f>S94+T94</f>
        <v>3407</v>
      </c>
      <c r="T95" s="545"/>
      <c r="U95" s="391" t="s">
        <v>149</v>
      </c>
    </row>
    <row r="96" spans="1:29" s="8" customFormat="1" ht="16.5" customHeight="1" x14ac:dyDescent="0.2">
      <c r="A96" s="238" t="s">
        <v>80</v>
      </c>
      <c r="B96" s="238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 t="s">
        <v>81</v>
      </c>
      <c r="P96" s="240">
        <f>SUM(C83:Q92)</f>
        <v>3801</v>
      </c>
      <c r="Q96" s="239"/>
      <c r="U96" s="119"/>
    </row>
    <row r="97" spans="1:29" s="8" customFormat="1" ht="16.5" customHeight="1" x14ac:dyDescent="0.2">
      <c r="A97" s="241" t="s">
        <v>82</v>
      </c>
      <c r="B97" s="241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 t="s">
        <v>83</v>
      </c>
      <c r="P97" s="243">
        <f>SUM(C74:P80)</f>
        <v>5295</v>
      </c>
      <c r="Q97" s="243">
        <f>P96+P97</f>
        <v>9096</v>
      </c>
      <c r="U97" s="119"/>
    </row>
    <row r="98" spans="1:29" s="8" customFormat="1" ht="16.5" customHeight="1" x14ac:dyDescent="0.2">
      <c r="A98" s="244"/>
      <c r="B98" s="244"/>
      <c r="R98" s="245" t="s">
        <v>84</v>
      </c>
      <c r="S98" s="246">
        <f>C94+E94+G94+I94+K94+M94+O94</f>
        <v>3258</v>
      </c>
      <c r="T98" s="119"/>
    </row>
    <row r="99" spans="1:29" s="8" customFormat="1" x14ac:dyDescent="0.2">
      <c r="A99" s="244"/>
      <c r="B99" s="244"/>
      <c r="D99" s="110"/>
      <c r="E99" s="556"/>
      <c r="F99" s="556"/>
      <c r="G99" s="556"/>
      <c r="H99" s="556"/>
      <c r="I99" s="556"/>
      <c r="J99" s="556"/>
      <c r="K99" s="556"/>
      <c r="L99" s="556"/>
      <c r="R99" s="247" t="s">
        <v>85</v>
      </c>
      <c r="S99" s="248">
        <f>D94+F94+H94+J94+L94+N94+P94+Q94</f>
        <v>6688</v>
      </c>
      <c r="T99" s="119"/>
    </row>
    <row r="100" spans="1:29" x14ac:dyDescent="0.2">
      <c r="G100" s="558" t="s">
        <v>175</v>
      </c>
      <c r="H100" s="558"/>
      <c r="I100" s="558"/>
      <c r="J100" s="558"/>
      <c r="K100" s="558"/>
      <c r="L100" s="558"/>
    </row>
    <row r="103" spans="1:29" x14ac:dyDescent="0.2">
      <c r="A103" s="551" t="s">
        <v>46</v>
      </c>
      <c r="B103" s="551"/>
    </row>
    <row r="104" spans="1:29" s="8" customFormat="1" ht="16.5" customHeight="1" x14ac:dyDescent="0.2">
      <c r="A104" s="553" t="s">
        <v>86</v>
      </c>
      <c r="B104" s="554"/>
      <c r="C104" s="547" t="s">
        <v>34</v>
      </c>
      <c r="D104" s="547"/>
      <c r="E104" s="547" t="s">
        <v>35</v>
      </c>
      <c r="F104" s="547"/>
      <c r="G104" s="547" t="s">
        <v>36</v>
      </c>
      <c r="H104" s="547"/>
      <c r="I104" s="547" t="s">
        <v>37</v>
      </c>
      <c r="J104" s="547"/>
      <c r="K104" s="547" t="s">
        <v>38</v>
      </c>
      <c r="L104" s="547"/>
      <c r="M104" s="547" t="s">
        <v>40</v>
      </c>
      <c r="N104" s="547"/>
      <c r="O104" s="547" t="s">
        <v>41</v>
      </c>
      <c r="P104" s="547"/>
      <c r="T104" s="119"/>
    </row>
    <row r="105" spans="1:29" s="8" customFormat="1" ht="16.5" customHeight="1" x14ac:dyDescent="0.2">
      <c r="A105" s="120"/>
      <c r="B105" s="121" t="s">
        <v>47</v>
      </c>
      <c r="C105" s="548">
        <v>46041</v>
      </c>
      <c r="D105" s="549"/>
      <c r="E105" s="548">
        <v>46042</v>
      </c>
      <c r="F105" s="549"/>
      <c r="G105" s="548">
        <v>46043</v>
      </c>
      <c r="H105" s="549"/>
      <c r="I105" s="548">
        <v>46044</v>
      </c>
      <c r="J105" s="549"/>
      <c r="K105" s="548">
        <v>46045</v>
      </c>
      <c r="L105" s="549"/>
      <c r="M105" s="548">
        <v>46046</v>
      </c>
      <c r="N105" s="549"/>
      <c r="O105" s="548">
        <v>46047</v>
      </c>
      <c r="P105" s="549"/>
      <c r="Q105" s="122"/>
      <c r="R105" s="123"/>
      <c r="S105" s="124"/>
      <c r="U105" s="119"/>
    </row>
    <row r="106" spans="1:29" s="8" customFormat="1" ht="16.5" customHeight="1" x14ac:dyDescent="0.2">
      <c r="A106" s="120"/>
      <c r="B106" s="120" t="s">
        <v>48</v>
      </c>
      <c r="C106" s="125" t="s">
        <v>4</v>
      </c>
      <c r="D106" s="125" t="s">
        <v>5</v>
      </c>
      <c r="E106" s="125" t="s">
        <v>4</v>
      </c>
      <c r="F106" s="125" t="s">
        <v>5</v>
      </c>
      <c r="G106" s="125" t="s">
        <v>4</v>
      </c>
      <c r="H106" s="125" t="s">
        <v>5</v>
      </c>
      <c r="I106" s="125" t="s">
        <v>4</v>
      </c>
      <c r="J106" s="125" t="s">
        <v>5</v>
      </c>
      <c r="K106" s="125" t="s">
        <v>4</v>
      </c>
      <c r="L106" s="125" t="s">
        <v>5</v>
      </c>
      <c r="M106" s="125" t="s">
        <v>4</v>
      </c>
      <c r="N106" s="125" t="s">
        <v>5</v>
      </c>
      <c r="O106" s="125" t="s">
        <v>4</v>
      </c>
      <c r="P106" s="125" t="s">
        <v>5</v>
      </c>
      <c r="Q106" s="126" t="s">
        <v>49</v>
      </c>
      <c r="R106" s="123" t="s">
        <v>50</v>
      </c>
      <c r="S106" s="127" t="s">
        <v>51</v>
      </c>
      <c r="T106" s="128" t="s">
        <v>52</v>
      </c>
      <c r="U106" s="129" t="s">
        <v>53</v>
      </c>
    </row>
    <row r="107" spans="1:29" s="8" customFormat="1" ht="16.5" customHeight="1" x14ac:dyDescent="0.2">
      <c r="A107" s="130" t="s">
        <v>54</v>
      </c>
      <c r="B107" s="131">
        <v>250</v>
      </c>
      <c r="C107" s="132"/>
      <c r="D107" s="133"/>
      <c r="E107" s="133"/>
      <c r="F107" s="133"/>
      <c r="G107" s="134"/>
      <c r="H107" s="134"/>
      <c r="I107" s="133"/>
      <c r="J107" s="133"/>
      <c r="K107" s="133"/>
      <c r="L107" s="133"/>
      <c r="M107" s="133"/>
      <c r="N107" s="133"/>
      <c r="O107" s="133"/>
      <c r="P107" s="133"/>
      <c r="Q107" s="135">
        <v>250</v>
      </c>
      <c r="R107" s="136">
        <f t="shared" ref="R107:R109" si="14">SUM(C107:Q107)</f>
        <v>250</v>
      </c>
      <c r="S107" s="123"/>
      <c r="T107" s="137"/>
      <c r="U107" s="138">
        <f t="shared" ref="U107:U114" si="15">R107-S107-T107</f>
        <v>250</v>
      </c>
      <c r="V107" s="139"/>
      <c r="W107" s="110"/>
      <c r="X107" s="110"/>
      <c r="Y107" s="110"/>
      <c r="Z107" s="110"/>
      <c r="AA107" s="110"/>
      <c r="AB107" s="110"/>
    </row>
    <row r="108" spans="1:29" s="8" customFormat="1" ht="16.5" customHeight="1" x14ac:dyDescent="0.2">
      <c r="A108" s="130" t="s">
        <v>66</v>
      </c>
      <c r="B108" s="331" t="s">
        <v>94</v>
      </c>
      <c r="C108" s="132"/>
      <c r="D108" s="133"/>
      <c r="E108" s="133"/>
      <c r="F108" s="141">
        <v>32</v>
      </c>
      <c r="G108" s="134"/>
      <c r="H108" s="141">
        <v>48</v>
      </c>
      <c r="I108" s="133"/>
      <c r="J108" s="133"/>
      <c r="K108" s="133"/>
      <c r="L108" s="133"/>
      <c r="M108" s="133"/>
      <c r="N108" s="133"/>
      <c r="O108" s="133"/>
      <c r="P108" s="133"/>
      <c r="Q108" s="135"/>
      <c r="R108" s="136">
        <f t="shared" si="14"/>
        <v>80</v>
      </c>
      <c r="S108" s="123"/>
      <c r="T108" s="137"/>
      <c r="U108" s="138">
        <f t="shared" si="15"/>
        <v>80</v>
      </c>
      <c r="V108" s="139"/>
      <c r="W108" s="110"/>
      <c r="X108" s="110"/>
      <c r="Y108" s="110"/>
      <c r="Z108" s="110"/>
      <c r="AA108" s="110"/>
      <c r="AB108" s="110"/>
    </row>
    <row r="109" spans="1:29" s="147" customFormat="1" ht="16.5" customHeight="1" x14ac:dyDescent="0.2">
      <c r="A109" s="130" t="s">
        <v>55</v>
      </c>
      <c r="B109" s="330" t="s">
        <v>87</v>
      </c>
      <c r="C109" s="140">
        <v>120</v>
      </c>
      <c r="D109" s="141">
        <v>130</v>
      </c>
      <c r="E109" s="140">
        <v>120</v>
      </c>
      <c r="F109" s="133"/>
      <c r="G109" s="142"/>
      <c r="H109" s="142"/>
      <c r="I109" s="140">
        <v>120</v>
      </c>
      <c r="J109" s="141">
        <v>130</v>
      </c>
      <c r="K109" s="140">
        <v>120</v>
      </c>
      <c r="L109" s="141">
        <v>130</v>
      </c>
      <c r="M109" s="140">
        <v>120</v>
      </c>
      <c r="N109" s="141">
        <v>130</v>
      </c>
      <c r="O109" s="140">
        <v>120</v>
      </c>
      <c r="P109" s="141">
        <v>130</v>
      </c>
      <c r="Q109" s="135"/>
      <c r="R109" s="136">
        <f t="shared" si="14"/>
        <v>1370</v>
      </c>
      <c r="S109" s="143">
        <v>962</v>
      </c>
      <c r="T109" s="137"/>
      <c r="U109" s="138">
        <f t="shared" si="15"/>
        <v>408</v>
      </c>
      <c r="V109" s="550"/>
      <c r="W109" s="541"/>
      <c r="X109" s="541"/>
      <c r="Y109" s="541"/>
      <c r="Z109" s="144"/>
      <c r="AA109" s="145"/>
      <c r="AB109" s="146"/>
    </row>
    <row r="110" spans="1:29" s="147" customFormat="1" ht="16.5" customHeight="1" x14ac:dyDescent="0.2">
      <c r="A110" s="130" t="s">
        <v>56</v>
      </c>
      <c r="B110" s="330" t="s">
        <v>88</v>
      </c>
      <c r="C110" s="148">
        <v>115</v>
      </c>
      <c r="D110" s="141">
        <v>125</v>
      </c>
      <c r="E110" s="133"/>
      <c r="F110" s="133"/>
      <c r="G110" s="133"/>
      <c r="H110" s="133"/>
      <c r="I110" s="133"/>
      <c r="J110" s="395"/>
      <c r="K110" s="148">
        <v>115</v>
      </c>
      <c r="L110" s="141">
        <v>125</v>
      </c>
      <c r="M110" s="148">
        <v>115</v>
      </c>
      <c r="N110" s="141">
        <v>125</v>
      </c>
      <c r="O110" s="149"/>
      <c r="P110" s="150"/>
      <c r="Q110" s="151"/>
      <c r="R110" s="136">
        <f>SUM(C110:Q110)</f>
        <v>720</v>
      </c>
      <c r="S110" s="152"/>
      <c r="T110" s="137"/>
      <c r="U110" s="138">
        <f t="shared" si="15"/>
        <v>720</v>
      </c>
      <c r="V110" s="153" t="s">
        <v>57</v>
      </c>
      <c r="W110" s="153"/>
      <c r="X110" s="154">
        <f>U110-463</f>
        <v>257</v>
      </c>
      <c r="Y110" s="155"/>
      <c r="Z110" s="144"/>
      <c r="AA110" s="145"/>
      <c r="AB110" s="145"/>
    </row>
    <row r="111" spans="1:29" s="8" customFormat="1" ht="16.5" customHeight="1" x14ac:dyDescent="0.2">
      <c r="A111" s="156" t="s">
        <v>58</v>
      </c>
      <c r="B111" s="330" t="s">
        <v>64</v>
      </c>
      <c r="C111" s="157">
        <v>95</v>
      </c>
      <c r="D111" s="158">
        <v>120</v>
      </c>
      <c r="E111" s="159">
        <v>95</v>
      </c>
      <c r="F111" s="158">
        <v>120</v>
      </c>
      <c r="G111" s="159">
        <v>95</v>
      </c>
      <c r="H111" s="158">
        <v>120</v>
      </c>
      <c r="I111" s="402">
        <v>95</v>
      </c>
      <c r="J111" s="158">
        <v>120</v>
      </c>
      <c r="K111" s="159">
        <v>95</v>
      </c>
      <c r="L111" s="158">
        <v>120</v>
      </c>
      <c r="M111" s="160"/>
      <c r="N111" s="158">
        <v>120</v>
      </c>
      <c r="O111" s="160"/>
      <c r="P111" s="160"/>
      <c r="Q111" s="161"/>
      <c r="R111" s="136">
        <f>SUM(C111:Q111)</f>
        <v>1195</v>
      </c>
      <c r="S111" s="143">
        <v>1145</v>
      </c>
      <c r="T111" s="162"/>
      <c r="U111" s="163">
        <f t="shared" si="15"/>
        <v>50</v>
      </c>
      <c r="V111" s="536" t="s">
        <v>60</v>
      </c>
      <c r="W111" s="537"/>
      <c r="X111" s="537"/>
      <c r="Y111" s="164"/>
      <c r="Z111" s="110"/>
      <c r="AA111" s="110"/>
      <c r="AB111" s="165"/>
      <c r="AC111" s="110"/>
    </row>
    <row r="112" spans="1:29" s="8" customFormat="1" ht="16.5" customHeight="1" x14ac:dyDescent="0.2">
      <c r="A112" s="156" t="s">
        <v>61</v>
      </c>
      <c r="B112" s="330" t="s">
        <v>59</v>
      </c>
      <c r="C112" s="166">
        <v>90</v>
      </c>
      <c r="D112" s="133"/>
      <c r="E112" s="133"/>
      <c r="F112" s="158">
        <v>115</v>
      </c>
      <c r="G112" s="134"/>
      <c r="H112" s="158">
        <v>115</v>
      </c>
      <c r="I112" s="133"/>
      <c r="J112" s="158">
        <v>115</v>
      </c>
      <c r="K112" s="396"/>
      <c r="L112" s="158">
        <v>115</v>
      </c>
      <c r="M112" s="166">
        <v>90</v>
      </c>
      <c r="N112" s="158">
        <v>115</v>
      </c>
      <c r="O112" s="166">
        <v>90</v>
      </c>
      <c r="P112" s="141">
        <v>115</v>
      </c>
      <c r="Q112" s="135"/>
      <c r="R112" s="136">
        <f>SUM(C112:Q112)</f>
        <v>960</v>
      </c>
      <c r="S112" s="127"/>
      <c r="T112" s="167"/>
      <c r="U112" s="138">
        <f t="shared" si="15"/>
        <v>960</v>
      </c>
      <c r="W112" s="110"/>
      <c r="X112" s="110"/>
      <c r="Y112" s="110"/>
      <c r="Z112" s="110"/>
      <c r="AA112" s="110"/>
      <c r="AB112" s="110"/>
    </row>
    <row r="113" spans="1:29" s="8" customFormat="1" ht="16.5" customHeight="1" x14ac:dyDescent="0.2">
      <c r="A113" s="168" t="s">
        <v>63</v>
      </c>
      <c r="B113" s="331" t="s">
        <v>89</v>
      </c>
      <c r="C113" s="169"/>
      <c r="D113" s="160"/>
      <c r="E113" s="132"/>
      <c r="G113" s="134"/>
      <c r="H113" s="170">
        <v>120</v>
      </c>
      <c r="I113" s="395"/>
      <c r="J113" s="110"/>
      <c r="K113" s="397"/>
      <c r="L113" s="171">
        <v>120</v>
      </c>
      <c r="M113" s="172"/>
      <c r="N113" s="158">
        <v>120</v>
      </c>
      <c r="O113" s="148">
        <v>100</v>
      </c>
      <c r="P113" s="141">
        <v>120</v>
      </c>
      <c r="Q113" s="135"/>
      <c r="R113" s="136">
        <f t="shared" ref="R113:R117" si="16">SUM(C113:Q113)</f>
        <v>580</v>
      </c>
      <c r="S113" s="143">
        <v>250</v>
      </c>
      <c r="T113" s="137"/>
      <c r="U113" s="138">
        <f t="shared" si="15"/>
        <v>330</v>
      </c>
      <c r="V113" s="538"/>
      <c r="W113" s="539"/>
      <c r="X113" s="539"/>
      <c r="Y113" s="539"/>
      <c r="Z113" s="173"/>
      <c r="AA113" s="174"/>
      <c r="AB113" s="175"/>
      <c r="AC113" s="165"/>
    </row>
    <row r="114" spans="1:29" s="8" customFormat="1" ht="16.5" customHeight="1" x14ac:dyDescent="0.2">
      <c r="A114" s="156" t="s">
        <v>65</v>
      </c>
      <c r="B114" s="131" t="s">
        <v>62</v>
      </c>
      <c r="C114" s="176"/>
      <c r="D114" s="133"/>
      <c r="E114" s="133"/>
      <c r="F114" s="133"/>
      <c r="G114" s="134"/>
      <c r="H114" s="134"/>
      <c r="I114" s="398"/>
      <c r="J114" s="396"/>
      <c r="K114" s="133"/>
      <c r="L114" s="133"/>
      <c r="M114" s="169"/>
      <c r="N114" s="169"/>
      <c r="O114" s="169"/>
      <c r="P114" s="169"/>
      <c r="Q114" s="177"/>
      <c r="R114" s="136">
        <f t="shared" si="16"/>
        <v>0</v>
      </c>
      <c r="S114" s="178"/>
      <c r="T114" s="137"/>
      <c r="U114" s="138">
        <f t="shared" si="15"/>
        <v>0</v>
      </c>
      <c r="V114" s="110"/>
      <c r="W114" s="110"/>
      <c r="X114" s="165"/>
      <c r="Y114" s="110"/>
      <c r="Z114" s="110"/>
      <c r="AA114" s="110"/>
      <c r="AB114" s="110"/>
    </row>
    <row r="115" spans="1:29" s="8" customFormat="1" ht="16.5" customHeight="1" x14ac:dyDescent="0.2">
      <c r="A115" s="168" t="s">
        <v>159</v>
      </c>
      <c r="B115" s="331" t="s">
        <v>94</v>
      </c>
      <c r="C115" s="132"/>
      <c r="D115" s="132"/>
      <c r="E115" s="132"/>
      <c r="F115" s="170">
        <v>160</v>
      </c>
      <c r="G115" s="159">
        <v>130</v>
      </c>
      <c r="H115" s="170">
        <v>160</v>
      </c>
      <c r="I115" s="132"/>
      <c r="J115" s="132"/>
      <c r="K115" s="132"/>
      <c r="L115" s="132"/>
      <c r="M115" s="132"/>
      <c r="N115" s="132"/>
      <c r="O115" s="132"/>
      <c r="P115" s="132"/>
      <c r="Q115" s="179"/>
      <c r="R115" s="136">
        <f t="shared" si="16"/>
        <v>450</v>
      </c>
      <c r="S115" s="119"/>
      <c r="T115" s="137"/>
      <c r="U115" s="138">
        <f>R115-S115-T115</f>
        <v>450</v>
      </c>
      <c r="V115" s="180"/>
      <c r="W115" s="181"/>
      <c r="X115" s="182"/>
      <c r="Y115" s="181"/>
      <c r="Z115" s="183"/>
      <c r="AA115" s="110"/>
      <c r="AB115" s="110"/>
    </row>
    <row r="116" spans="1:29" x14ac:dyDescent="0.2">
      <c r="A116" s="184" t="s">
        <v>67</v>
      </c>
      <c r="B116" s="185">
        <v>120</v>
      </c>
      <c r="C116" s="186"/>
      <c r="D116" s="186"/>
      <c r="E116" s="186"/>
      <c r="F116" s="186"/>
      <c r="G116" s="186"/>
      <c r="H116" s="187"/>
      <c r="I116" s="399"/>
      <c r="J116" s="399"/>
      <c r="K116" s="399"/>
      <c r="L116" s="171">
        <v>120</v>
      </c>
      <c r="M116" s="187"/>
      <c r="N116" s="186"/>
      <c r="O116" s="188"/>
      <c r="P116" s="189"/>
      <c r="Q116" s="135"/>
      <c r="R116" s="136">
        <f t="shared" si="16"/>
        <v>120</v>
      </c>
      <c r="S116" s="190"/>
      <c r="T116" s="190"/>
      <c r="U116" s="138">
        <f>R116-S116-T116</f>
        <v>120</v>
      </c>
      <c r="X116" s="540"/>
      <c r="Y116" s="540"/>
      <c r="Z116" s="540"/>
      <c r="AA116" s="540"/>
      <c r="AB116" s="118"/>
      <c r="AC116" s="118"/>
    </row>
    <row r="117" spans="1:29" s="8" customFormat="1" ht="16.5" customHeight="1" thickBot="1" x14ac:dyDescent="0.25">
      <c r="A117" s="191" t="s">
        <v>68</v>
      </c>
      <c r="B117" s="192" t="s">
        <v>90</v>
      </c>
      <c r="C117" s="193"/>
      <c r="D117" s="194"/>
      <c r="E117" s="193"/>
      <c r="F117" s="403">
        <v>120</v>
      </c>
      <c r="G117" s="193"/>
      <c r="H117" s="193"/>
      <c r="I117" s="193"/>
      <c r="J117" s="403">
        <v>120</v>
      </c>
      <c r="K117" s="193"/>
      <c r="L117" s="193"/>
      <c r="M117" s="193"/>
      <c r="N117" s="403">
        <v>120</v>
      </c>
      <c r="O117" s="193"/>
      <c r="P117" s="403">
        <v>120</v>
      </c>
      <c r="Q117" s="196"/>
      <c r="R117" s="197">
        <f t="shared" si="16"/>
        <v>480</v>
      </c>
      <c r="S117" s="198"/>
      <c r="T117" s="193"/>
      <c r="U117" s="199">
        <f t="shared" ref="U117:U125" si="17">R117-S117-T117</f>
        <v>480</v>
      </c>
      <c r="V117" s="110"/>
      <c r="W117" s="541"/>
      <c r="X117" s="541"/>
      <c r="Y117" s="110"/>
      <c r="Z117" s="110"/>
      <c r="AA117" s="110"/>
      <c r="AB117" s="110"/>
    </row>
    <row r="118" spans="1:29" s="8" customFormat="1" ht="16.5" customHeight="1" x14ac:dyDescent="0.2">
      <c r="A118" s="200" t="s">
        <v>69</v>
      </c>
      <c r="B118" s="332" t="s">
        <v>91</v>
      </c>
      <c r="C118" s="202"/>
      <c r="D118" s="202"/>
      <c r="E118" s="157">
        <v>110</v>
      </c>
      <c r="F118" s="203">
        <v>130</v>
      </c>
      <c r="G118" s="157">
        <v>110</v>
      </c>
      <c r="H118" s="213"/>
      <c r="I118" s="157">
        <v>110</v>
      </c>
      <c r="J118" s="203">
        <v>130</v>
      </c>
      <c r="K118" s="157">
        <v>110</v>
      </c>
      <c r="L118" s="203">
        <v>130</v>
      </c>
      <c r="M118" s="157">
        <v>110</v>
      </c>
      <c r="N118" s="203">
        <v>130</v>
      </c>
      <c r="O118" s="204"/>
      <c r="P118" s="204"/>
      <c r="Q118" s="205"/>
      <c r="R118" s="206">
        <f>SUM(C118:Q118)</f>
        <v>1070</v>
      </c>
      <c r="S118" s="207">
        <v>800</v>
      </c>
      <c r="T118" s="208"/>
      <c r="U118" s="209">
        <f t="shared" si="17"/>
        <v>270</v>
      </c>
      <c r="V118" s="542"/>
      <c r="W118" s="543"/>
      <c r="X118" s="543"/>
      <c r="Y118" s="543"/>
      <c r="Z118" s="175"/>
      <c r="AA118" s="110"/>
      <c r="AB118" s="110"/>
    </row>
    <row r="119" spans="1:29" s="8" customFormat="1" ht="16.5" customHeight="1" x14ac:dyDescent="0.2">
      <c r="A119" s="168" t="s">
        <v>70</v>
      </c>
      <c r="B119" s="331" t="s">
        <v>92</v>
      </c>
      <c r="C119" s="132"/>
      <c r="D119" s="210">
        <v>100</v>
      </c>
      <c r="E119" s="132"/>
      <c r="F119" s="132"/>
      <c r="G119" s="132"/>
      <c r="H119" s="210">
        <v>100</v>
      </c>
      <c r="I119" s="133"/>
      <c r="J119" s="401"/>
      <c r="K119" s="133"/>
      <c r="L119" s="203">
        <v>100</v>
      </c>
      <c r="M119" s="133"/>
      <c r="N119" s="203">
        <v>100</v>
      </c>
      <c r="O119" s="133"/>
      <c r="P119" s="133"/>
      <c r="Q119" s="211"/>
      <c r="R119" s="206">
        <f t="shared" ref="R119:R125" si="18">SUM(C119:Q119)</f>
        <v>400</v>
      </c>
      <c r="S119" s="212"/>
      <c r="T119" s="137"/>
      <c r="U119" s="138">
        <f t="shared" si="17"/>
        <v>400</v>
      </c>
      <c r="W119" s="110"/>
      <c r="X119" s="110"/>
      <c r="Y119" s="110"/>
      <c r="Z119" s="110"/>
      <c r="AA119" s="110"/>
      <c r="AB119" s="110"/>
    </row>
    <row r="120" spans="1:29" s="8" customFormat="1" ht="16.5" customHeight="1" x14ac:dyDescent="0.2">
      <c r="A120" s="200" t="s">
        <v>71</v>
      </c>
      <c r="B120" s="332" t="s">
        <v>92</v>
      </c>
      <c r="C120" s="213"/>
      <c r="D120" s="210">
        <v>100</v>
      </c>
      <c r="E120" s="213"/>
      <c r="F120" s="213"/>
      <c r="G120" s="213"/>
      <c r="H120" s="210">
        <v>100</v>
      </c>
      <c r="I120" s="213"/>
      <c r="J120" s="110"/>
      <c r="K120" s="213"/>
      <c r="L120" s="203">
        <v>100</v>
      </c>
      <c r="M120" s="213"/>
      <c r="N120" s="210">
        <v>100</v>
      </c>
      <c r="O120" s="213"/>
      <c r="P120" s="213"/>
      <c r="Q120" s="201"/>
      <c r="R120" s="206">
        <f t="shared" si="18"/>
        <v>400</v>
      </c>
      <c r="S120" s="212"/>
      <c r="T120" s="208"/>
      <c r="U120" s="209">
        <f t="shared" si="17"/>
        <v>400</v>
      </c>
      <c r="V120" s="146"/>
      <c r="W120" s="145"/>
      <c r="X120" s="214"/>
      <c r="Y120" s="214"/>
      <c r="Z120" s="214"/>
      <c r="AA120" s="110"/>
      <c r="AB120" s="110"/>
    </row>
    <row r="121" spans="1:29" s="8" customFormat="1" ht="16.5" customHeight="1" x14ac:dyDescent="0.2">
      <c r="A121" s="168" t="s">
        <v>72</v>
      </c>
      <c r="B121" s="331" t="s">
        <v>93</v>
      </c>
      <c r="C121" s="213"/>
      <c r="D121" s="210">
        <v>97</v>
      </c>
      <c r="E121" s="213"/>
      <c r="F121" s="132"/>
      <c r="G121" s="132"/>
      <c r="H121" s="210">
        <v>97</v>
      </c>
      <c r="I121" s="132"/>
      <c r="J121" s="132"/>
      <c r="K121" s="157">
        <v>86</v>
      </c>
      <c r="L121" s="210">
        <v>97</v>
      </c>
      <c r="M121" s="215"/>
      <c r="N121" s="215"/>
      <c r="O121" s="157">
        <v>86</v>
      </c>
      <c r="P121" s="210">
        <v>97</v>
      </c>
      <c r="Q121" s="135"/>
      <c r="R121" s="206">
        <f t="shared" si="18"/>
        <v>560</v>
      </c>
      <c r="S121" s="143">
        <v>250</v>
      </c>
      <c r="T121" s="137"/>
      <c r="U121" s="138">
        <f t="shared" si="17"/>
        <v>310</v>
      </c>
      <c r="W121" s="110"/>
      <c r="X121" s="110"/>
      <c r="Y121" s="165"/>
      <c r="Z121" s="110"/>
      <c r="AA121" s="110"/>
      <c r="AB121" s="110"/>
    </row>
    <row r="122" spans="1:29" x14ac:dyDescent="0.2">
      <c r="A122" s="216" t="s">
        <v>74</v>
      </c>
      <c r="B122" s="331" t="s">
        <v>93</v>
      </c>
      <c r="C122" s="157">
        <v>86</v>
      </c>
      <c r="D122" s="215"/>
      <c r="E122" s="157">
        <v>86</v>
      </c>
      <c r="F122" s="210">
        <v>97</v>
      </c>
      <c r="G122" s="157">
        <v>86</v>
      </c>
      <c r="H122" s="134"/>
      <c r="I122" s="157">
        <v>86</v>
      </c>
      <c r="J122" s="210">
        <v>97</v>
      </c>
      <c r="K122" s="399"/>
      <c r="M122" s="187"/>
      <c r="N122" s="187"/>
      <c r="O122" s="157">
        <v>86</v>
      </c>
      <c r="P122" s="210">
        <v>97</v>
      </c>
      <c r="Q122" s="205"/>
      <c r="R122" s="206">
        <f t="shared" si="18"/>
        <v>721</v>
      </c>
      <c r="S122" s="190"/>
      <c r="T122" s="190"/>
      <c r="U122" s="138">
        <f t="shared" si="17"/>
        <v>721</v>
      </c>
    </row>
    <row r="123" spans="1:29" s="8" customFormat="1" ht="16.5" customHeight="1" x14ac:dyDescent="0.2">
      <c r="A123" s="168" t="s">
        <v>75</v>
      </c>
      <c r="B123" s="331" t="s">
        <v>92</v>
      </c>
      <c r="C123" s="215"/>
      <c r="D123" s="215"/>
      <c r="E123" s="133"/>
      <c r="F123" s="133"/>
      <c r="G123" s="134"/>
      <c r="H123" s="134"/>
      <c r="I123" s="134"/>
      <c r="J123" s="133"/>
      <c r="K123" s="133"/>
      <c r="L123" s="133"/>
      <c r="M123" s="133"/>
      <c r="N123" s="133"/>
      <c r="O123" s="133"/>
      <c r="P123" s="210">
        <v>100</v>
      </c>
      <c r="Q123" s="218" t="s">
        <v>76</v>
      </c>
      <c r="R123" s="206">
        <f t="shared" si="18"/>
        <v>100</v>
      </c>
      <c r="S123" s="207"/>
      <c r="T123" s="137"/>
      <c r="U123" s="138">
        <f t="shared" si="17"/>
        <v>100</v>
      </c>
      <c r="V123" s="219" t="s">
        <v>77</v>
      </c>
      <c r="W123" s="220"/>
      <c r="X123" s="220"/>
      <c r="Y123" s="220"/>
      <c r="Z123" s="221"/>
      <c r="AA123"/>
      <c r="AB123" s="110"/>
    </row>
    <row r="124" spans="1:29" s="8" customFormat="1" ht="16.5" customHeight="1" x14ac:dyDescent="0.2">
      <c r="A124" s="222" t="s">
        <v>78</v>
      </c>
      <c r="B124" s="333" t="s">
        <v>92</v>
      </c>
      <c r="C124" s="215"/>
      <c r="D124" s="215"/>
      <c r="E124" s="223"/>
      <c r="F124" s="215"/>
      <c r="G124" s="224"/>
      <c r="H124" s="224"/>
      <c r="I124" s="225"/>
      <c r="J124" s="215"/>
      <c r="K124" s="225"/>
      <c r="L124" s="215"/>
      <c r="M124" s="215"/>
      <c r="N124" s="225"/>
      <c r="O124" s="225"/>
      <c r="P124" s="215"/>
      <c r="Q124" s="226"/>
      <c r="R124" s="206">
        <f t="shared" si="18"/>
        <v>0</v>
      </c>
      <c r="S124" s="227"/>
      <c r="T124" s="228"/>
      <c r="U124" s="163">
        <f t="shared" si="17"/>
        <v>0</v>
      </c>
      <c r="W124" s="217"/>
      <c r="X124" s="217"/>
      <c r="Y124" s="217"/>
      <c r="Z124" s="110"/>
      <c r="AA124"/>
    </row>
    <row r="125" spans="1:29" x14ac:dyDescent="0.2">
      <c r="A125" s="216" t="s">
        <v>79</v>
      </c>
      <c r="B125" s="331" t="s">
        <v>93</v>
      </c>
      <c r="D125" s="158">
        <v>110</v>
      </c>
      <c r="E125" s="187"/>
      <c r="F125" s="210">
        <v>97</v>
      </c>
      <c r="G125" s="187"/>
      <c r="H125" s="187"/>
      <c r="I125" s="399"/>
      <c r="J125" s="210">
        <v>97</v>
      </c>
      <c r="K125" s="399"/>
      <c r="L125" s="210">
        <v>97</v>
      </c>
      <c r="M125" s="383">
        <v>86</v>
      </c>
      <c r="N125" s="210">
        <v>97</v>
      </c>
      <c r="O125" s="215"/>
      <c r="P125" s="225"/>
      <c r="Q125" s="205"/>
      <c r="R125" s="206">
        <f t="shared" si="18"/>
        <v>584</v>
      </c>
      <c r="S125" s="190"/>
      <c r="T125" s="190"/>
      <c r="U125" s="138">
        <f t="shared" si="17"/>
        <v>584</v>
      </c>
    </row>
    <row r="126" spans="1:29" s="8" customFormat="1" ht="16.5" customHeight="1" x14ac:dyDescent="0.2">
      <c r="A126" s="216" t="s">
        <v>73</v>
      </c>
      <c r="B126" s="331" t="s">
        <v>93</v>
      </c>
      <c r="C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05"/>
      <c r="R126" s="206">
        <f>SUM(C126:Q126)</f>
        <v>0</v>
      </c>
      <c r="S126" s="127"/>
      <c r="T126" s="137"/>
      <c r="U126" s="138">
        <f>R126-S126-T126</f>
        <v>0</v>
      </c>
      <c r="W126" s="217"/>
      <c r="X126" s="217"/>
      <c r="Y126" s="217"/>
      <c r="Z126" s="110"/>
    </row>
    <row r="127" spans="1:29" x14ac:dyDescent="0.2">
      <c r="A127" s="216"/>
      <c r="B127" s="360"/>
      <c r="C127" s="187"/>
      <c r="D127" s="187"/>
      <c r="E127" s="187"/>
      <c r="F127" s="187"/>
      <c r="G127" s="187"/>
      <c r="H127" s="187"/>
      <c r="I127" s="399"/>
      <c r="J127" s="399"/>
      <c r="K127" s="399"/>
      <c r="L127" s="187"/>
      <c r="M127" s="187"/>
      <c r="N127" s="187"/>
      <c r="O127" s="187"/>
      <c r="P127" s="187"/>
      <c r="Q127" s="205"/>
      <c r="R127" s="206">
        <f t="shared" ref="R127:R128" si="19">SUM(C127:Q127)</f>
        <v>0</v>
      </c>
      <c r="S127" s="190"/>
      <c r="T127" s="190"/>
      <c r="U127" s="138"/>
    </row>
    <row r="128" spans="1:29" s="8" customFormat="1" ht="16.5" customHeight="1" x14ac:dyDescent="0.2">
      <c r="A128" s="168"/>
      <c r="B128" s="360"/>
      <c r="C128" s="133"/>
      <c r="D128" s="133"/>
      <c r="E128" s="133"/>
      <c r="F128" s="133"/>
      <c r="G128" s="134"/>
      <c r="H128" s="134"/>
      <c r="I128" s="133"/>
      <c r="J128" s="133"/>
      <c r="K128" s="133"/>
      <c r="L128" s="133"/>
      <c r="M128" s="133"/>
      <c r="N128" s="133"/>
      <c r="O128" s="213"/>
      <c r="P128" s="213"/>
      <c r="Q128" s="211"/>
      <c r="R128" s="206">
        <f t="shared" si="19"/>
        <v>0</v>
      </c>
      <c r="S128" s="212"/>
      <c r="T128" s="137"/>
      <c r="U128" s="138"/>
      <c r="V128" s="182"/>
      <c r="W128" s="181"/>
      <c r="Y128" s="110"/>
      <c r="Z128" s="110"/>
      <c r="AA128" s="110"/>
      <c r="AB128" s="110"/>
    </row>
    <row r="129" spans="1:29" s="8" customFormat="1" ht="16.5" customHeight="1" x14ac:dyDescent="0.2">
      <c r="A129" s="229"/>
      <c r="B129" s="229"/>
      <c r="C129" s="230">
        <f>SUM(C107:C127)</f>
        <v>506</v>
      </c>
      <c r="D129" s="230">
        <f>SUM(D107:D127)</f>
        <v>782</v>
      </c>
      <c r="E129" s="230">
        <f>SUM(E107:E127)</f>
        <v>411</v>
      </c>
      <c r="F129" s="230">
        <f>SUM(F107:F127)</f>
        <v>871</v>
      </c>
      <c r="G129" s="230">
        <f>SUM(G107:G128)</f>
        <v>421</v>
      </c>
      <c r="H129" s="230">
        <f>SUM(H107:H127)</f>
        <v>860</v>
      </c>
      <c r="I129" s="230">
        <f>SUM(I107:I127)</f>
        <v>411</v>
      </c>
      <c r="J129" s="230">
        <f>SUM(J107:J127)</f>
        <v>809</v>
      </c>
      <c r="K129" s="230">
        <f>SUM(K107:K127)</f>
        <v>526</v>
      </c>
      <c r="L129" s="230">
        <f>SUM(L107:L128)</f>
        <v>1254</v>
      </c>
      <c r="M129" s="230">
        <f>SUM(M107:M127)</f>
        <v>521</v>
      </c>
      <c r="N129" s="230">
        <f>SUM(N107:N128)</f>
        <v>1157</v>
      </c>
      <c r="O129" s="230">
        <f>SUM(O107:O128)</f>
        <v>482</v>
      </c>
      <c r="P129" s="230">
        <f>SUM(P107:P128)</f>
        <v>779</v>
      </c>
      <c r="Q129" s="230">
        <f>SUM(Q107:Q127)</f>
        <v>250</v>
      </c>
      <c r="R129" s="231">
        <f>SUM(R107:R128)</f>
        <v>10040</v>
      </c>
      <c r="S129" s="230">
        <f>SUM(S109:S128)</f>
        <v>3407</v>
      </c>
      <c r="T129" s="232">
        <f>SUM(T107:T128)</f>
        <v>0</v>
      </c>
      <c r="U129" s="233">
        <f>SUM(U107:U128)</f>
        <v>6633</v>
      </c>
    </row>
    <row r="130" spans="1:29" s="8" customFormat="1" ht="16.5" customHeight="1" x14ac:dyDescent="0.2">
      <c r="A130" s="160"/>
      <c r="B130" s="234"/>
      <c r="C130" s="235"/>
      <c r="D130" s="235">
        <f>C129+D129</f>
        <v>1288</v>
      </c>
      <c r="E130" s="235"/>
      <c r="F130" s="235">
        <f>E129+F129</f>
        <v>1282</v>
      </c>
      <c r="G130" s="235"/>
      <c r="H130" s="235">
        <f>G129+H129</f>
        <v>1281</v>
      </c>
      <c r="I130" s="235"/>
      <c r="J130" s="235">
        <f>I129+J129</f>
        <v>1220</v>
      </c>
      <c r="K130" s="235"/>
      <c r="L130" s="235">
        <f>K129+L129</f>
        <v>1780</v>
      </c>
      <c r="M130" s="235"/>
      <c r="N130" s="235">
        <f>M129+N129</f>
        <v>1678</v>
      </c>
      <c r="O130" s="235"/>
      <c r="P130" s="235">
        <f>O129+P129</f>
        <v>1261</v>
      </c>
      <c r="Q130" s="236"/>
      <c r="R130" s="237" t="s">
        <v>116</v>
      </c>
      <c r="S130" s="544">
        <f>S129+T129</f>
        <v>3407</v>
      </c>
      <c r="T130" s="545"/>
      <c r="U130" s="391" t="s">
        <v>149</v>
      </c>
    </row>
    <row r="131" spans="1:29" s="8" customFormat="1" ht="16.5" customHeight="1" x14ac:dyDescent="0.2">
      <c r="A131" s="238" t="s">
        <v>80</v>
      </c>
      <c r="B131" s="238"/>
      <c r="C131" s="239"/>
      <c r="D131" s="239"/>
      <c r="E131" s="239"/>
      <c r="F131" s="239"/>
      <c r="G131" s="239"/>
      <c r="H131" s="239"/>
      <c r="I131" s="239"/>
      <c r="J131" s="239"/>
      <c r="K131" s="239"/>
      <c r="L131" s="239"/>
      <c r="M131" s="239"/>
      <c r="N131" s="239"/>
      <c r="O131" s="239" t="s">
        <v>81</v>
      </c>
      <c r="P131" s="240">
        <f>SUM(C118:Q127)</f>
        <v>3835</v>
      </c>
      <c r="Q131" s="239"/>
      <c r="U131" s="119"/>
    </row>
    <row r="132" spans="1:29" s="8" customFormat="1" ht="16.5" customHeight="1" x14ac:dyDescent="0.2">
      <c r="A132" s="241" t="s">
        <v>82</v>
      </c>
      <c r="B132" s="241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 t="s">
        <v>83</v>
      </c>
      <c r="P132" s="243">
        <f>SUM(C109:P115)</f>
        <v>5275</v>
      </c>
      <c r="Q132" s="243">
        <f>P131+P132</f>
        <v>9110</v>
      </c>
      <c r="U132" s="119"/>
    </row>
    <row r="133" spans="1:29" s="8" customFormat="1" ht="16.5" customHeight="1" x14ac:dyDescent="0.2">
      <c r="A133" s="244"/>
      <c r="B133" s="244"/>
      <c r="R133" s="245" t="s">
        <v>84</v>
      </c>
      <c r="S133" s="246">
        <f>C129+E129+G129+I129+K129+M129+O129</f>
        <v>3278</v>
      </c>
      <c r="T133" s="119"/>
    </row>
    <row r="134" spans="1:29" s="8" customFormat="1" x14ac:dyDescent="0.2">
      <c r="A134" s="244"/>
      <c r="B134" s="244"/>
      <c r="D134" s="110"/>
      <c r="E134" s="556"/>
      <c r="F134" s="556"/>
      <c r="G134" s="556"/>
      <c r="H134" s="556"/>
      <c r="I134" s="556"/>
      <c r="J134" s="556"/>
      <c r="K134" s="556"/>
      <c r="L134" s="556"/>
      <c r="R134" s="247" t="s">
        <v>85</v>
      </c>
      <c r="S134" s="248">
        <f>D129+F129+H129+J129+L129+N129+P129+Q129</f>
        <v>6762</v>
      </c>
      <c r="T134" s="119"/>
    </row>
    <row r="135" spans="1:29" x14ac:dyDescent="0.2">
      <c r="G135" s="558"/>
      <c r="H135" s="558"/>
      <c r="I135" s="558"/>
      <c r="J135" s="558"/>
      <c r="K135" s="558"/>
      <c r="L135" s="558"/>
    </row>
    <row r="138" spans="1:29" x14ac:dyDescent="0.2">
      <c r="A138" s="551" t="s">
        <v>46</v>
      </c>
      <c r="B138" s="551"/>
      <c r="C138" s="555" t="s">
        <v>191</v>
      </c>
      <c r="D138" s="555"/>
    </row>
    <row r="139" spans="1:29" s="8" customFormat="1" ht="16.5" customHeight="1" x14ac:dyDescent="0.2">
      <c r="A139" s="553" t="s">
        <v>86</v>
      </c>
      <c r="B139" s="554"/>
      <c r="C139" s="547" t="s">
        <v>34</v>
      </c>
      <c r="D139" s="547"/>
      <c r="E139" s="547" t="s">
        <v>35</v>
      </c>
      <c r="F139" s="547"/>
      <c r="G139" s="547" t="s">
        <v>36</v>
      </c>
      <c r="H139" s="547"/>
      <c r="I139" s="547" t="s">
        <v>37</v>
      </c>
      <c r="J139" s="547"/>
      <c r="K139" s="547" t="s">
        <v>38</v>
      </c>
      <c r="L139" s="547"/>
      <c r="M139" s="547" t="s">
        <v>40</v>
      </c>
      <c r="N139" s="547"/>
      <c r="O139" s="547" t="s">
        <v>41</v>
      </c>
      <c r="P139" s="547"/>
      <c r="T139" s="119"/>
    </row>
    <row r="140" spans="1:29" s="8" customFormat="1" ht="16.5" customHeight="1" x14ac:dyDescent="0.2">
      <c r="A140" s="120"/>
      <c r="B140" s="121" t="s">
        <v>47</v>
      </c>
      <c r="C140" s="548">
        <v>46048</v>
      </c>
      <c r="D140" s="549"/>
      <c r="E140" s="548">
        <v>46049</v>
      </c>
      <c r="F140" s="549"/>
      <c r="G140" s="548">
        <v>46050</v>
      </c>
      <c r="H140" s="549"/>
      <c r="I140" s="548">
        <v>46051</v>
      </c>
      <c r="J140" s="549"/>
      <c r="K140" s="548">
        <v>46052</v>
      </c>
      <c r="L140" s="549"/>
      <c r="M140" s="548">
        <v>46053</v>
      </c>
      <c r="N140" s="549"/>
      <c r="O140" s="548">
        <v>46054</v>
      </c>
      <c r="P140" s="549"/>
      <c r="Q140" s="126"/>
      <c r="R140" s="126"/>
      <c r="S140" s="123"/>
      <c r="T140" s="124"/>
      <c r="V140" s="119"/>
    </row>
    <row r="141" spans="1:29" s="8" customFormat="1" ht="16.5" customHeight="1" x14ac:dyDescent="0.2">
      <c r="A141" s="120"/>
      <c r="B141" s="120" t="s">
        <v>48</v>
      </c>
      <c r="C141" s="125" t="s">
        <v>4</v>
      </c>
      <c r="D141" s="125" t="s">
        <v>5</v>
      </c>
      <c r="E141" s="125" t="s">
        <v>4</v>
      </c>
      <c r="F141" s="125" t="s">
        <v>5</v>
      </c>
      <c r="G141" s="125" t="s">
        <v>4</v>
      </c>
      <c r="H141" s="125" t="s">
        <v>5</v>
      </c>
      <c r="I141" s="125" t="s">
        <v>4</v>
      </c>
      <c r="J141" s="125" t="s">
        <v>5</v>
      </c>
      <c r="K141" s="125" t="s">
        <v>4</v>
      </c>
      <c r="L141" s="125" t="s">
        <v>5</v>
      </c>
      <c r="M141" s="125" t="s">
        <v>4</v>
      </c>
      <c r="N141" s="125" t="s">
        <v>5</v>
      </c>
      <c r="O141" s="125" t="s">
        <v>4</v>
      </c>
      <c r="P141" s="125" t="s">
        <v>5</v>
      </c>
      <c r="Q141" s="126" t="s">
        <v>49</v>
      </c>
      <c r="R141" s="126" t="s">
        <v>192</v>
      </c>
      <c r="S141" s="123" t="s">
        <v>50</v>
      </c>
      <c r="T141" s="127" t="s">
        <v>51</v>
      </c>
      <c r="U141" s="128" t="s">
        <v>52</v>
      </c>
      <c r="V141" s="505" t="s">
        <v>53</v>
      </c>
    </row>
    <row r="142" spans="1:29" s="8" customFormat="1" ht="16.5" customHeight="1" x14ac:dyDescent="0.2">
      <c r="A142" s="130" t="s">
        <v>54</v>
      </c>
      <c r="B142" s="131">
        <v>250</v>
      </c>
      <c r="C142" s="132"/>
      <c r="D142" s="133"/>
      <c r="E142" s="133"/>
      <c r="F142" s="133"/>
      <c r="G142" s="134"/>
      <c r="H142" s="134"/>
      <c r="I142" s="133"/>
      <c r="J142" s="133"/>
      <c r="K142" s="133"/>
      <c r="L142" s="133"/>
      <c r="M142" s="133"/>
      <c r="N142" s="133"/>
      <c r="O142" s="133"/>
      <c r="P142" s="133"/>
      <c r="Q142" s="135">
        <v>250</v>
      </c>
      <c r="R142" s="498"/>
      <c r="S142" s="136">
        <f>SUM(C142:R142)</f>
        <v>250</v>
      </c>
      <c r="T142" s="123"/>
      <c r="U142" s="137"/>
      <c r="V142" s="138">
        <f t="shared" ref="V142:V149" si="20">S142-T142-U142</f>
        <v>250</v>
      </c>
      <c r="W142" s="139"/>
      <c r="X142" s="110"/>
      <c r="Y142" s="110"/>
      <c r="Z142" s="110"/>
      <c r="AA142" s="110"/>
      <c r="AB142" s="110"/>
      <c r="AC142" s="110"/>
    </row>
    <row r="143" spans="1:29" s="8" customFormat="1" ht="16.5" customHeight="1" x14ac:dyDescent="0.2">
      <c r="A143" s="130" t="s">
        <v>66</v>
      </c>
      <c r="B143" s="331" t="s">
        <v>94</v>
      </c>
      <c r="C143" s="132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5"/>
      <c r="R143" s="498"/>
      <c r="S143" s="136">
        <f t="shared" ref="S143:S163" si="21">SUM(C143:R143)</f>
        <v>0</v>
      </c>
      <c r="T143" s="123"/>
      <c r="U143" s="137"/>
      <c r="V143" s="138">
        <f t="shared" si="20"/>
        <v>0</v>
      </c>
      <c r="W143" s="139"/>
      <c r="X143" s="110"/>
      <c r="Y143" s="110"/>
      <c r="Z143" s="110"/>
      <c r="AA143" s="110"/>
      <c r="AB143" s="110"/>
      <c r="AC143" s="110"/>
    </row>
    <row r="144" spans="1:29" s="147" customFormat="1" ht="16.5" customHeight="1" x14ac:dyDescent="0.2">
      <c r="A144" s="130" t="s">
        <v>55</v>
      </c>
      <c r="B144" s="330" t="s">
        <v>87</v>
      </c>
      <c r="C144" s="140">
        <v>120</v>
      </c>
      <c r="D144" s="141">
        <v>130</v>
      </c>
      <c r="E144" s="133"/>
      <c r="F144" s="133"/>
      <c r="G144" s="142"/>
      <c r="H144" s="142"/>
      <c r="I144" s="140">
        <v>120</v>
      </c>
      <c r="J144" s="141">
        <v>130</v>
      </c>
      <c r="K144" s="140">
        <v>120</v>
      </c>
      <c r="L144" s="141">
        <v>130</v>
      </c>
      <c r="M144" s="140">
        <v>120</v>
      </c>
      <c r="N144" s="141">
        <v>130</v>
      </c>
      <c r="O144" s="140">
        <v>120</v>
      </c>
      <c r="P144" s="141">
        <v>130</v>
      </c>
      <c r="Q144" s="135"/>
      <c r="R144" s="498">
        <v>41.95</v>
      </c>
      <c r="S144" s="136">
        <f>SUM(C144:R144)</f>
        <v>1291.95</v>
      </c>
      <c r="T144" s="143">
        <v>962</v>
      </c>
      <c r="U144" s="137"/>
      <c r="V144" s="138">
        <f>S144-T144-U144</f>
        <v>329.95000000000005</v>
      </c>
      <c r="W144" s="550"/>
      <c r="X144" s="541"/>
      <c r="Y144" s="541"/>
      <c r="Z144" s="541"/>
      <c r="AA144" s="144"/>
      <c r="AB144" s="145"/>
      <c r="AC144" s="146"/>
    </row>
    <row r="145" spans="1:30" s="147" customFormat="1" ht="16.5" customHeight="1" x14ac:dyDescent="0.2">
      <c r="A145" s="130" t="s">
        <v>56</v>
      </c>
      <c r="B145" s="330" t="s">
        <v>88</v>
      </c>
      <c r="C145" s="148">
        <v>115</v>
      </c>
      <c r="D145" s="141">
        <v>125</v>
      </c>
      <c r="E145" s="148">
        <v>115</v>
      </c>
      <c r="F145" s="141">
        <v>125</v>
      </c>
      <c r="G145" s="148">
        <v>115</v>
      </c>
      <c r="H145" s="141">
        <v>125</v>
      </c>
      <c r="I145" s="133"/>
      <c r="J145" s="395"/>
      <c r="K145" s="148">
        <v>115</v>
      </c>
      <c r="L145" s="141">
        <v>125</v>
      </c>
      <c r="M145" s="148">
        <v>115</v>
      </c>
      <c r="N145" s="141">
        <v>125</v>
      </c>
      <c r="O145" s="149"/>
      <c r="P145" s="150"/>
      <c r="Q145" s="151"/>
      <c r="R145" s="498">
        <v>41.95</v>
      </c>
      <c r="S145" s="136">
        <f t="shared" si="21"/>
        <v>1241.95</v>
      </c>
      <c r="T145" s="152"/>
      <c r="U145" s="137"/>
      <c r="V145" s="138">
        <f t="shared" si="20"/>
        <v>1241.95</v>
      </c>
      <c r="W145" s="153" t="s">
        <v>57</v>
      </c>
      <c r="X145" s="153"/>
      <c r="Y145" s="154">
        <f>V145-463</f>
        <v>778.95</v>
      </c>
      <c r="Z145" s="155"/>
      <c r="AA145" s="144"/>
      <c r="AB145" s="145"/>
      <c r="AC145" s="145"/>
    </row>
    <row r="146" spans="1:30" s="8" customFormat="1" ht="16.5" customHeight="1" x14ac:dyDescent="0.2">
      <c r="A146" s="156" t="s">
        <v>58</v>
      </c>
      <c r="B146" s="330" t="s">
        <v>64</v>
      </c>
      <c r="C146" s="157">
        <v>95</v>
      </c>
      <c r="D146" s="158">
        <v>120</v>
      </c>
      <c r="E146" s="159">
        <v>95</v>
      </c>
      <c r="F146" s="158">
        <v>120</v>
      </c>
      <c r="G146" s="159">
        <v>95</v>
      </c>
      <c r="H146" s="158">
        <v>120</v>
      </c>
      <c r="I146" s="133"/>
      <c r="J146" s="158">
        <v>120</v>
      </c>
      <c r="K146" s="159">
        <v>95</v>
      </c>
      <c r="L146" s="158">
        <v>120</v>
      </c>
      <c r="M146" s="160"/>
      <c r="N146" s="160"/>
      <c r="O146" s="160"/>
      <c r="P146" s="160"/>
      <c r="Q146" s="161"/>
      <c r="R146" s="498">
        <v>41.95</v>
      </c>
      <c r="S146" s="136">
        <f t="shared" si="21"/>
        <v>1021.95</v>
      </c>
      <c r="T146" s="143">
        <v>1145</v>
      </c>
      <c r="U146" s="162"/>
      <c r="V146" s="163">
        <f t="shared" si="20"/>
        <v>-123.04999999999995</v>
      </c>
      <c r="W146" s="536" t="s">
        <v>60</v>
      </c>
      <c r="X146" s="537"/>
      <c r="Y146" s="537"/>
      <c r="Z146" s="164"/>
      <c r="AA146" s="110"/>
      <c r="AB146" s="110"/>
      <c r="AC146" s="165"/>
      <c r="AD146" s="110"/>
    </row>
    <row r="147" spans="1:30" s="8" customFormat="1" ht="16.5" customHeight="1" x14ac:dyDescent="0.2">
      <c r="A147" s="156" t="s">
        <v>61</v>
      </c>
      <c r="B147" s="330" t="s">
        <v>59</v>
      </c>
      <c r="C147" s="166">
        <v>90</v>
      </c>
      <c r="D147" s="133"/>
      <c r="E147" s="133"/>
      <c r="F147" s="158">
        <v>115</v>
      </c>
      <c r="G147" s="134"/>
      <c r="H147" s="158">
        <v>115</v>
      </c>
      <c r="I147" s="133"/>
      <c r="J147" s="158">
        <v>115</v>
      </c>
      <c r="K147" s="396"/>
      <c r="L147" s="158">
        <v>115</v>
      </c>
      <c r="M147" s="166">
        <v>90</v>
      </c>
      <c r="N147" s="158">
        <v>115</v>
      </c>
      <c r="O147" s="166">
        <v>90</v>
      </c>
      <c r="P147" s="141">
        <v>115</v>
      </c>
      <c r="Q147" s="135"/>
      <c r="R147" s="498">
        <v>12.5</v>
      </c>
      <c r="S147" s="136">
        <f t="shared" si="21"/>
        <v>972.5</v>
      </c>
      <c r="T147" s="127"/>
      <c r="U147" s="167"/>
      <c r="V147" s="138">
        <f t="shared" si="20"/>
        <v>972.5</v>
      </c>
      <c r="X147" s="110"/>
      <c r="Y147" s="110"/>
      <c r="Z147" s="110"/>
      <c r="AA147" s="110"/>
      <c r="AB147" s="110"/>
      <c r="AC147" s="110"/>
    </row>
    <row r="148" spans="1:30" s="8" customFormat="1" ht="16.5" customHeight="1" x14ac:dyDescent="0.2">
      <c r="A148" s="168" t="s">
        <v>63</v>
      </c>
      <c r="B148" s="331" t="s">
        <v>89</v>
      </c>
      <c r="C148" s="169"/>
      <c r="D148" s="160"/>
      <c r="E148" s="132"/>
      <c r="G148" s="134"/>
      <c r="H148" s="170">
        <v>120</v>
      </c>
      <c r="I148" s="395"/>
      <c r="J148" s="110"/>
      <c r="K148" s="397"/>
      <c r="L148" s="171">
        <v>120</v>
      </c>
      <c r="M148" s="172"/>
      <c r="N148" s="158">
        <v>120</v>
      </c>
      <c r="O148" s="148">
        <v>100</v>
      </c>
      <c r="P148" s="141">
        <v>120</v>
      </c>
      <c r="Q148" s="135"/>
      <c r="R148" s="498"/>
      <c r="S148" s="136">
        <f t="shared" si="21"/>
        <v>580</v>
      </c>
      <c r="T148" s="143">
        <v>250</v>
      </c>
      <c r="U148" s="137"/>
      <c r="V148" s="138">
        <f t="shared" si="20"/>
        <v>330</v>
      </c>
      <c r="W148" s="538"/>
      <c r="X148" s="539"/>
      <c r="Y148" s="539"/>
      <c r="Z148" s="539"/>
      <c r="AA148" s="173"/>
      <c r="AB148" s="174"/>
      <c r="AC148" s="175"/>
      <c r="AD148" s="165"/>
    </row>
    <row r="149" spans="1:30" s="8" customFormat="1" ht="16.5" customHeight="1" x14ac:dyDescent="0.2">
      <c r="A149" s="156" t="s">
        <v>65</v>
      </c>
      <c r="B149" s="131" t="s">
        <v>62</v>
      </c>
      <c r="C149" s="176"/>
      <c r="D149" s="133"/>
      <c r="E149" s="133"/>
      <c r="F149" s="133"/>
      <c r="G149" s="134"/>
      <c r="H149" s="134"/>
      <c r="I149" s="398"/>
      <c r="J149" s="396"/>
      <c r="K149" s="133"/>
      <c r="L149" s="133"/>
      <c r="M149" s="169"/>
      <c r="N149" s="158">
        <v>115</v>
      </c>
      <c r="O149" s="169"/>
      <c r="P149" s="158">
        <v>115</v>
      </c>
      <c r="Q149" s="177"/>
      <c r="R149" s="499"/>
      <c r="S149" s="136">
        <f t="shared" si="21"/>
        <v>230</v>
      </c>
      <c r="T149" s="178"/>
      <c r="U149" s="137"/>
      <c r="V149" s="138">
        <f t="shared" si="20"/>
        <v>230</v>
      </c>
      <c r="W149" s="110"/>
      <c r="X149" s="110"/>
      <c r="Y149" s="165"/>
      <c r="Z149" s="110"/>
      <c r="AA149" s="110"/>
      <c r="AB149" s="110"/>
      <c r="AC149" s="110"/>
    </row>
    <row r="150" spans="1:30" s="8" customFormat="1" ht="16.5" customHeight="1" x14ac:dyDescent="0.2">
      <c r="A150" s="168" t="s">
        <v>159</v>
      </c>
      <c r="B150" s="331" t="s">
        <v>94</v>
      </c>
      <c r="C150" s="132"/>
      <c r="D150" s="132"/>
      <c r="E150" s="132"/>
      <c r="F150" s="132"/>
      <c r="G150" s="132"/>
      <c r="H150" s="132"/>
      <c r="I150" s="159">
        <v>130</v>
      </c>
      <c r="J150" s="132"/>
      <c r="K150" s="132"/>
      <c r="L150" s="132"/>
      <c r="M150" s="132"/>
      <c r="N150" s="132"/>
      <c r="O150" s="132"/>
      <c r="P150" s="132"/>
      <c r="Q150" s="179"/>
      <c r="R150" s="500"/>
      <c r="S150" s="136">
        <f t="shared" si="21"/>
        <v>130</v>
      </c>
      <c r="T150" s="119"/>
      <c r="U150" s="137"/>
      <c r="V150" s="138">
        <f>S150-T150-U150</f>
        <v>130</v>
      </c>
      <c r="W150" s="180"/>
      <c r="X150" s="181"/>
      <c r="Y150" s="182"/>
      <c r="Z150" s="181"/>
      <c r="AA150" s="183"/>
      <c r="AB150" s="110"/>
      <c r="AC150" s="110"/>
    </row>
    <row r="151" spans="1:30" x14ac:dyDescent="0.2">
      <c r="A151" s="184" t="s">
        <v>67</v>
      </c>
      <c r="B151" s="185">
        <v>120</v>
      </c>
      <c r="C151" s="186"/>
      <c r="D151" s="186"/>
      <c r="E151" s="186"/>
      <c r="F151" s="186"/>
      <c r="G151" s="186"/>
      <c r="H151" s="187"/>
      <c r="I151" s="399"/>
      <c r="J151" s="399"/>
      <c r="K151" s="399"/>
      <c r="L151" s="171">
        <v>120</v>
      </c>
      <c r="M151" s="187"/>
      <c r="N151" s="186"/>
      <c r="O151" s="188"/>
      <c r="P151" s="189"/>
      <c r="Q151" s="135"/>
      <c r="R151" s="498"/>
      <c r="S151" s="136">
        <f t="shared" si="21"/>
        <v>120</v>
      </c>
      <c r="T151" s="190"/>
      <c r="U151" s="190"/>
      <c r="V151" s="138">
        <f>S151-T151-U151</f>
        <v>120</v>
      </c>
      <c r="Y151" s="540"/>
      <c r="Z151" s="540"/>
      <c r="AA151" s="540"/>
      <c r="AB151" s="540"/>
      <c r="AC151" s="118"/>
      <c r="AD151" s="118"/>
    </row>
    <row r="152" spans="1:30" s="8" customFormat="1" ht="16.5" customHeight="1" thickBot="1" x14ac:dyDescent="0.25">
      <c r="A152" s="191" t="s">
        <v>68</v>
      </c>
      <c r="B152" s="192" t="s">
        <v>90</v>
      </c>
      <c r="C152" s="193"/>
      <c r="D152" s="194"/>
      <c r="E152" s="193"/>
      <c r="F152" s="403">
        <v>120</v>
      </c>
      <c r="G152" s="193"/>
      <c r="H152" s="193"/>
      <c r="I152" s="193"/>
      <c r="J152" s="403">
        <v>120</v>
      </c>
      <c r="K152" s="193"/>
      <c r="L152" s="193"/>
      <c r="M152" s="193"/>
      <c r="N152" s="403">
        <v>120</v>
      </c>
      <c r="O152" s="193"/>
      <c r="P152" s="403">
        <v>120</v>
      </c>
      <c r="Q152" s="196"/>
      <c r="R152" s="501"/>
      <c r="S152" s="136">
        <f t="shared" si="21"/>
        <v>480</v>
      </c>
      <c r="T152" s="198"/>
      <c r="U152" s="193"/>
      <c r="V152" s="199">
        <f t="shared" ref="V152:V160" si="22">S152-T152-U152</f>
        <v>480</v>
      </c>
      <c r="W152" s="110"/>
      <c r="X152" s="541"/>
      <c r="Y152" s="541"/>
      <c r="Z152" s="110"/>
      <c r="AA152" s="110"/>
      <c r="AB152" s="110"/>
      <c r="AC152" s="110"/>
    </row>
    <row r="153" spans="1:30" s="8" customFormat="1" ht="16.5" customHeight="1" x14ac:dyDescent="0.2">
      <c r="A153" s="200" t="s">
        <v>69</v>
      </c>
      <c r="B153" s="332" t="s">
        <v>91</v>
      </c>
      <c r="C153" s="202"/>
      <c r="D153" s="202"/>
      <c r="E153" s="157">
        <v>110</v>
      </c>
      <c r="F153" s="203">
        <v>130</v>
      </c>
      <c r="G153" s="157">
        <v>110</v>
      </c>
      <c r="H153" s="213"/>
      <c r="I153" s="157">
        <v>110</v>
      </c>
      <c r="J153" s="203">
        <v>130</v>
      </c>
      <c r="K153" s="157">
        <v>110</v>
      </c>
      <c r="L153" s="203">
        <v>130</v>
      </c>
      <c r="M153" s="157">
        <v>110</v>
      </c>
      <c r="N153" s="203">
        <v>130</v>
      </c>
      <c r="O153" s="204"/>
      <c r="P153" s="204"/>
      <c r="Q153" s="205">
        <v>20</v>
      </c>
      <c r="R153" s="502"/>
      <c r="S153" s="136">
        <f>SUM(C153:R153)</f>
        <v>1090</v>
      </c>
      <c r="T153" s="207">
        <v>800</v>
      </c>
      <c r="U153" s="208"/>
      <c r="V153" s="209">
        <f t="shared" si="22"/>
        <v>290</v>
      </c>
      <c r="W153" s="542"/>
      <c r="X153" s="543"/>
      <c r="Y153" s="543"/>
      <c r="Z153" s="543"/>
      <c r="AA153" s="175"/>
      <c r="AB153" s="110"/>
      <c r="AC153" s="110"/>
    </row>
    <row r="154" spans="1:30" s="8" customFormat="1" ht="16.5" customHeight="1" x14ac:dyDescent="0.2">
      <c r="A154" s="168" t="s">
        <v>70</v>
      </c>
      <c r="B154" s="331" t="s">
        <v>92</v>
      </c>
      <c r="C154" s="132"/>
      <c r="D154" s="210">
        <v>100</v>
      </c>
      <c r="E154" s="132"/>
      <c r="F154" s="132"/>
      <c r="G154" s="132"/>
      <c r="H154" s="210">
        <v>100</v>
      </c>
      <c r="I154" s="133"/>
      <c r="J154" s="401"/>
      <c r="K154" s="133"/>
      <c r="L154" s="203">
        <v>100</v>
      </c>
      <c r="M154" s="133"/>
      <c r="N154" s="203">
        <v>100</v>
      </c>
      <c r="O154" s="133"/>
      <c r="P154" s="133"/>
      <c r="Q154" s="211"/>
      <c r="R154" s="502">
        <v>29.45</v>
      </c>
      <c r="S154" s="136">
        <f t="shared" si="21"/>
        <v>429.45</v>
      </c>
      <c r="T154" s="212"/>
      <c r="U154" s="137"/>
      <c r="V154" s="138">
        <f t="shared" si="22"/>
        <v>429.45</v>
      </c>
      <c r="X154" s="110"/>
      <c r="Y154" s="110"/>
      <c r="Z154" s="110"/>
      <c r="AA154" s="110"/>
      <c r="AB154" s="110"/>
      <c r="AC154" s="110"/>
    </row>
    <row r="155" spans="1:30" s="8" customFormat="1" ht="16.5" customHeight="1" x14ac:dyDescent="0.2">
      <c r="A155" s="200" t="s">
        <v>71</v>
      </c>
      <c r="B155" s="332" t="s">
        <v>92</v>
      </c>
      <c r="C155" s="213"/>
      <c r="D155" s="210">
        <v>100</v>
      </c>
      <c r="E155" s="213"/>
      <c r="F155" s="213"/>
      <c r="G155" s="213"/>
      <c r="H155" s="210">
        <v>100</v>
      </c>
      <c r="I155" s="213"/>
      <c r="J155" s="110"/>
      <c r="K155" s="213"/>
      <c r="L155" s="203">
        <v>100</v>
      </c>
      <c r="M155" s="213"/>
      <c r="N155" s="210">
        <v>100</v>
      </c>
      <c r="O155" s="213"/>
      <c r="P155" s="213"/>
      <c r="Q155" s="201"/>
      <c r="R155" s="502">
        <v>29.45</v>
      </c>
      <c r="S155" s="136">
        <f t="shared" si="21"/>
        <v>429.45</v>
      </c>
      <c r="T155" s="212"/>
      <c r="U155" s="208"/>
      <c r="V155" s="209">
        <f t="shared" si="22"/>
        <v>429.45</v>
      </c>
      <c r="W155" s="146"/>
      <c r="X155" s="145"/>
      <c r="Y155" s="214"/>
      <c r="Z155" s="214"/>
      <c r="AA155" s="214"/>
      <c r="AB155" s="110"/>
      <c r="AC155" s="110"/>
    </row>
    <row r="156" spans="1:30" s="8" customFormat="1" ht="16.5" customHeight="1" x14ac:dyDescent="0.2">
      <c r="A156" s="168" t="s">
        <v>72</v>
      </c>
      <c r="B156" s="331" t="s">
        <v>93</v>
      </c>
      <c r="C156" s="213"/>
      <c r="D156" s="210">
        <v>97</v>
      </c>
      <c r="E156" s="213"/>
      <c r="F156" s="132"/>
      <c r="G156" s="132"/>
      <c r="H156" s="210">
        <v>97</v>
      </c>
      <c r="I156" s="132"/>
      <c r="J156" s="132"/>
      <c r="K156" s="157">
        <v>86</v>
      </c>
      <c r="L156" s="210">
        <v>97</v>
      </c>
      <c r="M156" s="215"/>
      <c r="N156" s="215"/>
      <c r="O156" s="157">
        <v>86</v>
      </c>
      <c r="P156" s="210">
        <v>97</v>
      </c>
      <c r="Q156" s="135"/>
      <c r="R156" s="502">
        <v>29.45</v>
      </c>
      <c r="S156" s="136">
        <f t="shared" si="21"/>
        <v>589.45000000000005</v>
      </c>
      <c r="T156" s="143">
        <v>250</v>
      </c>
      <c r="U156" s="137"/>
      <c r="V156" s="138">
        <f t="shared" si="22"/>
        <v>339.45000000000005</v>
      </c>
      <c r="X156" s="110"/>
      <c r="Y156" s="110"/>
      <c r="Z156" s="165"/>
      <c r="AA156" s="110"/>
      <c r="AB156" s="110"/>
      <c r="AC156" s="110"/>
    </row>
    <row r="157" spans="1:30" x14ac:dyDescent="0.2">
      <c r="A157" s="216" t="s">
        <v>74</v>
      </c>
      <c r="B157" s="331" t="s">
        <v>93</v>
      </c>
      <c r="C157" s="157">
        <v>86</v>
      </c>
      <c r="D157" s="215"/>
      <c r="E157" s="157">
        <v>86</v>
      </c>
      <c r="F157" s="210">
        <v>97</v>
      </c>
      <c r="G157" s="157">
        <v>86</v>
      </c>
      <c r="H157" s="134"/>
      <c r="I157" s="157">
        <v>86</v>
      </c>
      <c r="J157" s="210">
        <v>97</v>
      </c>
      <c r="K157" s="399"/>
      <c r="M157" s="187"/>
      <c r="N157" s="187"/>
      <c r="O157" s="157">
        <v>86</v>
      </c>
      <c r="P157" s="204"/>
      <c r="Q157" s="205"/>
      <c r="R157" s="502">
        <v>12.5</v>
      </c>
      <c r="S157" s="136">
        <f t="shared" si="21"/>
        <v>636.5</v>
      </c>
      <c r="T157" s="190"/>
      <c r="U157" s="190"/>
      <c r="V157" s="138">
        <f t="shared" si="22"/>
        <v>636.5</v>
      </c>
    </row>
    <row r="158" spans="1:30" s="8" customFormat="1" ht="16.5" customHeight="1" x14ac:dyDescent="0.2">
      <c r="A158" s="168" t="s">
        <v>75</v>
      </c>
      <c r="B158" s="331" t="s">
        <v>92</v>
      </c>
      <c r="C158" s="215"/>
      <c r="D158" s="215"/>
      <c r="E158" s="133"/>
      <c r="F158" s="133"/>
      <c r="G158" s="134"/>
      <c r="H158" s="134"/>
      <c r="I158" s="134"/>
      <c r="J158" s="133"/>
      <c r="K158" s="133"/>
      <c r="L158" s="133"/>
      <c r="M158" s="133"/>
      <c r="N158" s="133"/>
      <c r="O158" s="133"/>
      <c r="P158" s="210">
        <v>100</v>
      </c>
      <c r="Q158" s="218" t="s">
        <v>76</v>
      </c>
      <c r="R158" s="503"/>
      <c r="S158" s="136">
        <f>SUM(C158:R158)</f>
        <v>100</v>
      </c>
      <c r="T158" s="207"/>
      <c r="U158" s="137"/>
      <c r="V158" s="138">
        <f t="shared" si="22"/>
        <v>100</v>
      </c>
      <c r="W158" s="219" t="s">
        <v>77</v>
      </c>
      <c r="X158" s="220"/>
      <c r="Y158" s="220"/>
      <c r="Z158" s="220"/>
      <c r="AA158" s="221"/>
      <c r="AB158"/>
      <c r="AC158" s="110"/>
    </row>
    <row r="159" spans="1:30" s="8" customFormat="1" ht="16.5" customHeight="1" x14ac:dyDescent="0.2">
      <c r="A159" s="222" t="s">
        <v>78</v>
      </c>
      <c r="B159" s="333" t="s">
        <v>92</v>
      </c>
      <c r="C159" s="215"/>
      <c r="D159" s="215"/>
      <c r="E159" s="223"/>
      <c r="F159" s="215"/>
      <c r="G159" s="224"/>
      <c r="H159" s="224"/>
      <c r="I159" s="225"/>
      <c r="J159" s="215"/>
      <c r="K159" s="225"/>
      <c r="L159" s="215"/>
      <c r="M159" s="215"/>
      <c r="N159" s="225"/>
      <c r="O159" s="225"/>
      <c r="P159" s="210">
        <v>100</v>
      </c>
      <c r="Q159" s="226"/>
      <c r="R159" s="504"/>
      <c r="S159" s="136">
        <f t="shared" si="21"/>
        <v>100</v>
      </c>
      <c r="T159" s="227"/>
      <c r="U159" s="228"/>
      <c r="V159" s="163">
        <f t="shared" si="22"/>
        <v>100</v>
      </c>
      <c r="X159" s="217"/>
      <c r="Y159" s="217"/>
      <c r="Z159" s="217"/>
      <c r="AA159" s="110"/>
      <c r="AB159"/>
    </row>
    <row r="160" spans="1:30" x14ac:dyDescent="0.2">
      <c r="A160" s="216" t="s">
        <v>79</v>
      </c>
      <c r="B160" s="331" t="s">
        <v>93</v>
      </c>
      <c r="D160" s="158">
        <v>110</v>
      </c>
      <c r="E160" s="187"/>
      <c r="F160" s="210">
        <v>75.5</v>
      </c>
      <c r="G160" s="187"/>
      <c r="H160" s="187"/>
      <c r="I160" s="399"/>
      <c r="J160" s="210">
        <v>97</v>
      </c>
      <c r="K160" s="399"/>
      <c r="L160" s="210">
        <v>97</v>
      </c>
      <c r="M160" s="215"/>
      <c r="N160" s="210">
        <v>97</v>
      </c>
      <c r="O160" s="215"/>
      <c r="P160" s="158">
        <v>110</v>
      </c>
      <c r="Q160" s="205"/>
      <c r="R160" s="502">
        <v>29.45</v>
      </c>
      <c r="S160" s="136">
        <f>SUM(C160:R160)</f>
        <v>615.95000000000005</v>
      </c>
      <c r="T160" s="190"/>
      <c r="U160" s="190"/>
      <c r="V160" s="138">
        <f t="shared" si="22"/>
        <v>615.95000000000005</v>
      </c>
    </row>
    <row r="161" spans="1:29" s="8" customFormat="1" ht="16.5" customHeight="1" x14ac:dyDescent="0.2">
      <c r="A161" s="216" t="s">
        <v>73</v>
      </c>
      <c r="B161" s="331" t="s">
        <v>93</v>
      </c>
      <c r="C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05"/>
      <c r="R161" s="502"/>
      <c r="S161" s="136">
        <f t="shared" si="21"/>
        <v>0</v>
      </c>
      <c r="T161" s="127"/>
      <c r="U161" s="137"/>
      <c r="V161" s="138">
        <f>S161-T161-U161</f>
        <v>0</v>
      </c>
      <c r="X161" s="217"/>
      <c r="Y161" s="217"/>
      <c r="Z161" s="217"/>
      <c r="AA161" s="110"/>
    </row>
    <row r="162" spans="1:29" x14ac:dyDescent="0.2">
      <c r="A162" s="216"/>
      <c r="B162" s="360"/>
      <c r="C162" s="187"/>
      <c r="D162" s="187"/>
      <c r="E162" s="187"/>
      <c r="F162" s="187"/>
      <c r="G162" s="187"/>
      <c r="H162" s="187"/>
      <c r="I162" s="399"/>
      <c r="J162" s="399"/>
      <c r="K162" s="399"/>
      <c r="L162" s="187"/>
      <c r="M162" s="187"/>
      <c r="N162" s="187"/>
      <c r="O162" s="187"/>
      <c r="P162" s="187"/>
      <c r="Q162" s="205"/>
      <c r="R162" s="502"/>
      <c r="S162" s="136">
        <f t="shared" si="21"/>
        <v>0</v>
      </c>
      <c r="T162" s="190"/>
      <c r="U162" s="190"/>
      <c r="V162" s="138"/>
    </row>
    <row r="163" spans="1:29" s="8" customFormat="1" ht="16.5" customHeight="1" x14ac:dyDescent="0.2">
      <c r="A163" s="168"/>
      <c r="B163" s="360"/>
      <c r="C163" s="133"/>
      <c r="D163" s="133"/>
      <c r="E163" s="133"/>
      <c r="F163" s="133"/>
      <c r="G163" s="134"/>
      <c r="H163" s="134"/>
      <c r="I163" s="133"/>
      <c r="J163" s="133"/>
      <c r="K163" s="133"/>
      <c r="L163" s="133"/>
      <c r="M163" s="133"/>
      <c r="N163" s="133"/>
      <c r="O163" s="213"/>
      <c r="P163" s="213"/>
      <c r="Q163" s="211"/>
      <c r="R163" s="502"/>
      <c r="S163" s="136">
        <f t="shared" si="21"/>
        <v>0</v>
      </c>
      <c r="T163" s="212"/>
      <c r="U163" s="137"/>
      <c r="V163" s="138"/>
      <c r="W163" s="182"/>
      <c r="X163" s="181"/>
      <c r="Z163" s="110"/>
      <c r="AA163" s="110"/>
      <c r="AB163" s="110"/>
      <c r="AC163" s="110"/>
    </row>
    <row r="164" spans="1:29" s="8" customFormat="1" ht="16.5" customHeight="1" x14ac:dyDescent="0.2">
      <c r="A164" s="229"/>
      <c r="B164" s="229"/>
      <c r="C164" s="230">
        <f>SUM(C142:C162)</f>
        <v>506</v>
      </c>
      <c r="D164" s="230">
        <f>SUM(D142:D162)</f>
        <v>782</v>
      </c>
      <c r="E164" s="230">
        <f>SUM(E142:E162)</f>
        <v>406</v>
      </c>
      <c r="F164" s="230">
        <f>SUM(F142:F162)</f>
        <v>782.5</v>
      </c>
      <c r="G164" s="230">
        <f>SUM(G142:G163)</f>
        <v>406</v>
      </c>
      <c r="H164" s="230">
        <f>SUM(H142:H162)</f>
        <v>777</v>
      </c>
      <c r="I164" s="230">
        <f>SUM(I142:I162)</f>
        <v>446</v>
      </c>
      <c r="J164" s="230">
        <f>SUM(J142:J162)</f>
        <v>809</v>
      </c>
      <c r="K164" s="230">
        <f>SUM(K142:K162)</f>
        <v>526</v>
      </c>
      <c r="L164" s="230">
        <f>SUM(L142:L163)</f>
        <v>1254</v>
      </c>
      <c r="M164" s="230">
        <f>SUM(M142:M162)</f>
        <v>435</v>
      </c>
      <c r="N164" s="230">
        <f>SUM(N142:N163)</f>
        <v>1152</v>
      </c>
      <c r="O164" s="230">
        <f>SUM(O142:O163)</f>
        <v>482</v>
      </c>
      <c r="P164" s="230">
        <f>SUM(P142:P163)</f>
        <v>1007</v>
      </c>
      <c r="Q164" s="230">
        <f>SUM(Q142:Q162)</f>
        <v>270</v>
      </c>
      <c r="R164" s="230">
        <f>SUM(R142:R162)</f>
        <v>268.64999999999998</v>
      </c>
      <c r="S164" s="231">
        <f>SUM(S142:S163)</f>
        <v>10309.150000000001</v>
      </c>
      <c r="T164" s="230">
        <f>SUM(T144:T163)</f>
        <v>3407</v>
      </c>
      <c r="U164" s="232">
        <f>SUM(U142:U163)</f>
        <v>0</v>
      </c>
      <c r="V164" s="233">
        <f>SUM(V142:V163)</f>
        <v>6902.15</v>
      </c>
    </row>
    <row r="165" spans="1:29" s="8" customFormat="1" ht="16.5" customHeight="1" x14ac:dyDescent="0.2">
      <c r="A165" s="160"/>
      <c r="B165" s="234"/>
      <c r="C165" s="235"/>
      <c r="D165" s="235">
        <f>C164+D164</f>
        <v>1288</v>
      </c>
      <c r="E165" s="235"/>
      <c r="F165" s="235">
        <f>E164+F164</f>
        <v>1188.5</v>
      </c>
      <c r="G165" s="235"/>
      <c r="H165" s="235">
        <f>G164+H164</f>
        <v>1183</v>
      </c>
      <c r="I165" s="235"/>
      <c r="J165" s="235">
        <f>I164+J164</f>
        <v>1255</v>
      </c>
      <c r="K165" s="235"/>
      <c r="L165" s="235">
        <f>K164+L164</f>
        <v>1780</v>
      </c>
      <c r="M165" s="235"/>
      <c r="N165" s="235">
        <f>M164+N164</f>
        <v>1587</v>
      </c>
      <c r="O165" s="235"/>
      <c r="P165" s="235">
        <f>O164+P164</f>
        <v>1489</v>
      </c>
      <c r="Q165" s="236"/>
      <c r="R165" s="497"/>
      <c r="S165" s="237" t="s">
        <v>116</v>
      </c>
      <c r="T165" s="544">
        <f>T164+U164</f>
        <v>3407</v>
      </c>
      <c r="U165" s="545"/>
      <c r="V165" s="391" t="s">
        <v>149</v>
      </c>
    </row>
    <row r="166" spans="1:29" s="8" customFormat="1" ht="16.5" customHeight="1" x14ac:dyDescent="0.2">
      <c r="A166" s="238" t="s">
        <v>80</v>
      </c>
      <c r="B166" s="238"/>
      <c r="C166" s="239"/>
      <c r="D166" s="239"/>
      <c r="E166" s="239"/>
      <c r="F166" s="239"/>
      <c r="G166" s="239"/>
      <c r="H166" s="239"/>
      <c r="I166" s="239"/>
      <c r="J166" s="239"/>
      <c r="K166" s="239"/>
      <c r="L166" s="239"/>
      <c r="M166" s="239"/>
      <c r="N166" s="239"/>
      <c r="O166" s="239" t="s">
        <v>81</v>
      </c>
      <c r="P166" s="240">
        <f>SUM(C153:R162)</f>
        <v>3990.7999999999997</v>
      </c>
      <c r="Q166" s="239"/>
      <c r="U166" s="119"/>
    </row>
    <row r="167" spans="1:29" s="8" customFormat="1" ht="16.5" customHeight="1" x14ac:dyDescent="0.2">
      <c r="A167" s="241" t="s">
        <v>82</v>
      </c>
      <c r="B167" s="241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 t="s">
        <v>83</v>
      </c>
      <c r="P167" s="243">
        <f>SUM(C144:R150)</f>
        <v>5468.3499999999995</v>
      </c>
      <c r="Q167" s="243">
        <f>P166+P167</f>
        <v>9459.15</v>
      </c>
      <c r="U167" s="119"/>
    </row>
    <row r="168" spans="1:29" s="8" customFormat="1" ht="16.5" customHeight="1" x14ac:dyDescent="0.2">
      <c r="A168" s="244"/>
      <c r="B168" s="244"/>
      <c r="R168" s="245" t="s">
        <v>84</v>
      </c>
      <c r="S168" s="246">
        <f>C164+E164+G164+I164+K164+M164+O164</f>
        <v>3207</v>
      </c>
      <c r="T168" s="119"/>
    </row>
    <row r="169" spans="1:29" s="8" customFormat="1" x14ac:dyDescent="0.2">
      <c r="A169" s="244"/>
      <c r="B169" s="244"/>
      <c r="D169" s="110"/>
      <c r="E169" s="546" t="s">
        <v>187</v>
      </c>
      <c r="F169" s="546"/>
      <c r="G169" s="546"/>
      <c r="H169" s="546"/>
      <c r="I169" s="546"/>
      <c r="J169" s="546"/>
      <c r="K169" s="546"/>
      <c r="L169" s="546"/>
      <c r="R169" s="247" t="s">
        <v>85</v>
      </c>
      <c r="S169" s="248">
        <f>D164+F164+H164+J164+L164+N164+P164+Q164</f>
        <v>6833.5</v>
      </c>
      <c r="T169" s="119"/>
    </row>
    <row r="170" spans="1:29" x14ac:dyDescent="0.2">
      <c r="E170" s="389" t="s">
        <v>188</v>
      </c>
      <c r="F170" s="389"/>
      <c r="G170" s="389"/>
      <c r="H170" s="389"/>
      <c r="I170" s="389"/>
      <c r="J170" s="389"/>
      <c r="K170" s="389"/>
      <c r="L170" s="389"/>
      <c r="M170" s="118"/>
    </row>
    <row r="173" spans="1:29" x14ac:dyDescent="0.2">
      <c r="A173" s="551" t="s">
        <v>46</v>
      </c>
      <c r="B173" s="551"/>
      <c r="C173" s="552"/>
      <c r="D173" s="552"/>
      <c r="E173" s="118"/>
    </row>
    <row r="174" spans="1:29" s="8" customFormat="1" ht="16.5" customHeight="1" x14ac:dyDescent="0.2">
      <c r="A174" s="553" t="s">
        <v>86</v>
      </c>
      <c r="B174" s="554"/>
      <c r="C174" s="547" t="s">
        <v>34</v>
      </c>
      <c r="D174" s="547"/>
      <c r="E174" s="547" t="s">
        <v>35</v>
      </c>
      <c r="F174" s="547"/>
      <c r="G174" s="547" t="s">
        <v>36</v>
      </c>
      <c r="H174" s="547"/>
      <c r="I174" s="547" t="s">
        <v>37</v>
      </c>
      <c r="J174" s="547"/>
      <c r="K174" s="547" t="s">
        <v>38</v>
      </c>
      <c r="L174" s="547"/>
      <c r="M174" s="547" t="s">
        <v>40</v>
      </c>
      <c r="N174" s="547"/>
      <c r="O174" s="547" t="s">
        <v>41</v>
      </c>
      <c r="P174" s="547"/>
      <c r="T174" s="119"/>
    </row>
    <row r="175" spans="1:29" s="8" customFormat="1" ht="16.5" customHeight="1" x14ac:dyDescent="0.2">
      <c r="A175" s="120"/>
      <c r="B175" s="121" t="s">
        <v>47</v>
      </c>
      <c r="C175" s="548">
        <v>46055</v>
      </c>
      <c r="D175" s="549"/>
      <c r="E175" s="548">
        <v>46056</v>
      </c>
      <c r="F175" s="549"/>
      <c r="G175" s="548">
        <v>46057</v>
      </c>
      <c r="H175" s="549"/>
      <c r="I175" s="548">
        <v>46058</v>
      </c>
      <c r="J175" s="549"/>
      <c r="K175" s="548">
        <v>46059</v>
      </c>
      <c r="L175" s="549"/>
      <c r="M175" s="548">
        <v>46060</v>
      </c>
      <c r="N175" s="549"/>
      <c r="O175" s="548">
        <v>46061</v>
      </c>
      <c r="P175" s="549"/>
      <c r="Q175" s="126"/>
      <c r="R175" s="126"/>
      <c r="S175" s="123"/>
      <c r="T175" s="124"/>
      <c r="V175" s="119"/>
    </row>
    <row r="176" spans="1:29" s="8" customFormat="1" ht="16.5" customHeight="1" x14ac:dyDescent="0.2">
      <c r="A176" s="120"/>
      <c r="B176" s="120" t="s">
        <v>48</v>
      </c>
      <c r="C176" s="125" t="s">
        <v>4</v>
      </c>
      <c r="D176" s="125" t="s">
        <v>5</v>
      </c>
      <c r="E176" s="125" t="s">
        <v>4</v>
      </c>
      <c r="F176" s="125" t="s">
        <v>5</v>
      </c>
      <c r="G176" s="125" t="s">
        <v>4</v>
      </c>
      <c r="H176" s="125" t="s">
        <v>5</v>
      </c>
      <c r="I176" s="125" t="s">
        <v>4</v>
      </c>
      <c r="J176" s="125" t="s">
        <v>5</v>
      </c>
      <c r="K176" s="125" t="s">
        <v>4</v>
      </c>
      <c r="L176" s="125" t="s">
        <v>5</v>
      </c>
      <c r="M176" s="125" t="s">
        <v>4</v>
      </c>
      <c r="N176" s="125" t="s">
        <v>5</v>
      </c>
      <c r="O176" s="125" t="s">
        <v>4</v>
      </c>
      <c r="P176" s="125" t="s">
        <v>5</v>
      </c>
      <c r="Q176" s="126" t="s">
        <v>49</v>
      </c>
      <c r="R176" s="126" t="s">
        <v>192</v>
      </c>
      <c r="S176" s="123" t="s">
        <v>50</v>
      </c>
      <c r="T176" s="127" t="s">
        <v>51</v>
      </c>
      <c r="U176" s="128" t="s">
        <v>52</v>
      </c>
      <c r="V176" s="505" t="s">
        <v>53</v>
      </c>
    </row>
    <row r="177" spans="1:30" s="8" customFormat="1" ht="16.5" customHeight="1" x14ac:dyDescent="0.2">
      <c r="A177" s="130" t="s">
        <v>54</v>
      </c>
      <c r="B177" s="131">
        <v>250</v>
      </c>
      <c r="C177" s="135">
        <v>250</v>
      </c>
      <c r="D177" s="133"/>
      <c r="E177" s="133"/>
      <c r="F177" s="133"/>
      <c r="G177" s="134"/>
      <c r="H177" s="134"/>
      <c r="I177" s="133"/>
      <c r="J177" s="133"/>
      <c r="K177" s="133"/>
      <c r="L177" s="133"/>
      <c r="M177" s="133"/>
      <c r="N177" s="133"/>
      <c r="O177" s="133"/>
      <c r="P177" s="133"/>
      <c r="Q177" s="135"/>
      <c r="R177" s="498"/>
      <c r="S177" s="136">
        <f>SUM(C177:R177)</f>
        <v>250</v>
      </c>
      <c r="T177" s="123"/>
      <c r="U177" s="137"/>
      <c r="V177" s="138">
        <f t="shared" ref="V177:V178" si="23">S177-T177-U177</f>
        <v>250</v>
      </c>
      <c r="W177" s="139"/>
      <c r="X177" s="110"/>
      <c r="Y177" s="110"/>
      <c r="Z177" s="110"/>
      <c r="AA177" s="110"/>
      <c r="AB177" s="110"/>
      <c r="AC177" s="110"/>
    </row>
    <row r="178" spans="1:30" s="8" customFormat="1" ht="16.5" customHeight="1" x14ac:dyDescent="0.2">
      <c r="A178" s="130" t="s">
        <v>66</v>
      </c>
      <c r="B178" s="331" t="s">
        <v>94</v>
      </c>
      <c r="C178" s="132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5"/>
      <c r="R178" s="498"/>
      <c r="S178" s="136">
        <f t="shared" ref="S178" si="24">SUM(C178:R178)</f>
        <v>0</v>
      </c>
      <c r="T178" s="123"/>
      <c r="U178" s="137"/>
      <c r="V178" s="138">
        <f t="shared" si="23"/>
        <v>0</v>
      </c>
      <c r="W178" s="139"/>
      <c r="X178" s="110"/>
      <c r="Y178" s="110"/>
      <c r="Z178" s="110"/>
      <c r="AA178" s="110"/>
      <c r="AB178" s="110"/>
      <c r="AC178" s="110"/>
    </row>
    <row r="179" spans="1:30" s="147" customFormat="1" ht="16.5" customHeight="1" x14ac:dyDescent="0.2">
      <c r="A179" s="130" t="s">
        <v>55</v>
      </c>
      <c r="B179" s="330" t="s">
        <v>87</v>
      </c>
      <c r="C179" s="140">
        <v>120</v>
      </c>
      <c r="D179" s="141">
        <v>130</v>
      </c>
      <c r="E179" s="133"/>
      <c r="F179" s="133"/>
      <c r="G179" s="142"/>
      <c r="H179" s="142"/>
      <c r="I179" s="140">
        <v>120</v>
      </c>
      <c r="J179" s="141">
        <v>130</v>
      </c>
      <c r="K179" s="140">
        <v>120</v>
      </c>
      <c r="L179" s="141">
        <v>130</v>
      </c>
      <c r="M179" s="140">
        <v>120</v>
      </c>
      <c r="N179" s="141">
        <v>130</v>
      </c>
      <c r="O179" s="140">
        <v>120</v>
      </c>
      <c r="P179" s="141">
        <v>130</v>
      </c>
      <c r="Q179" s="135"/>
      <c r="R179" s="498"/>
      <c r="S179" s="136">
        <f>SUM(C179:R179)</f>
        <v>1250</v>
      </c>
      <c r="T179" s="143">
        <v>962</v>
      </c>
      <c r="U179" s="137"/>
      <c r="V179" s="138">
        <f>S179-T179-U179</f>
        <v>288</v>
      </c>
      <c r="W179" s="550"/>
      <c r="X179" s="541"/>
      <c r="Y179" s="541"/>
      <c r="Z179" s="541"/>
      <c r="AA179" s="144"/>
      <c r="AB179" s="145"/>
      <c r="AC179" s="146"/>
    </row>
    <row r="180" spans="1:30" s="147" customFormat="1" ht="16.5" customHeight="1" x14ac:dyDescent="0.2">
      <c r="A180" s="130" t="s">
        <v>56</v>
      </c>
      <c r="B180" s="330" t="s">
        <v>88</v>
      </c>
      <c r="C180" s="148">
        <v>115</v>
      </c>
      <c r="D180" s="141">
        <v>125</v>
      </c>
      <c r="E180" s="148">
        <v>115</v>
      </c>
      <c r="F180" s="141">
        <v>125</v>
      </c>
      <c r="G180" s="148">
        <v>115</v>
      </c>
      <c r="H180" s="141">
        <v>125</v>
      </c>
      <c r="I180" s="133"/>
      <c r="J180" s="395"/>
      <c r="K180" s="148">
        <v>115</v>
      </c>
      <c r="L180" s="141">
        <v>125</v>
      </c>
      <c r="M180" s="148">
        <v>115</v>
      </c>
      <c r="N180" s="141">
        <v>125</v>
      </c>
      <c r="O180" s="149"/>
      <c r="P180" s="150"/>
      <c r="Q180" s="151"/>
      <c r="R180" s="498"/>
      <c r="S180" s="136">
        <f t="shared" ref="S180:S187" si="25">SUM(C180:R180)</f>
        <v>1200</v>
      </c>
      <c r="T180" s="152"/>
      <c r="U180" s="137"/>
      <c r="V180" s="138">
        <f t="shared" ref="V180:V184" si="26">S180-T180-U180</f>
        <v>1200</v>
      </c>
      <c r="W180" s="153" t="s">
        <v>57</v>
      </c>
      <c r="X180" s="153"/>
      <c r="Y180" s="154">
        <f>V180-463</f>
        <v>737</v>
      </c>
      <c r="Z180" s="155"/>
      <c r="AA180" s="144"/>
      <c r="AB180" s="145"/>
      <c r="AC180" s="145"/>
    </row>
    <row r="181" spans="1:30" s="8" customFormat="1" ht="16.5" customHeight="1" x14ac:dyDescent="0.2">
      <c r="A181" s="156" t="s">
        <v>58</v>
      </c>
      <c r="B181" s="330" t="s">
        <v>64</v>
      </c>
      <c r="C181" s="157">
        <v>95</v>
      </c>
      <c r="D181" s="158">
        <v>120</v>
      </c>
      <c r="E181" s="159">
        <v>95</v>
      </c>
      <c r="F181" s="158">
        <v>120</v>
      </c>
      <c r="G181" s="159">
        <v>95</v>
      </c>
      <c r="H181" s="158">
        <v>120</v>
      </c>
      <c r="I181" s="159">
        <v>95</v>
      </c>
      <c r="J181" s="158">
        <v>120</v>
      </c>
      <c r="K181" s="159">
        <v>95</v>
      </c>
      <c r="L181" s="158">
        <v>120</v>
      </c>
      <c r="M181" s="160"/>
      <c r="N181" s="160"/>
      <c r="O181" s="160"/>
      <c r="P181" s="160"/>
      <c r="Q181" s="161"/>
      <c r="R181" s="498"/>
      <c r="S181" s="136">
        <f t="shared" si="25"/>
        <v>1075</v>
      </c>
      <c r="T181" s="143">
        <v>1145</v>
      </c>
      <c r="U181" s="162"/>
      <c r="V181" s="163">
        <f t="shared" si="26"/>
        <v>-70</v>
      </c>
      <c r="W181" s="536" t="s">
        <v>60</v>
      </c>
      <c r="X181" s="537"/>
      <c r="Y181" s="537"/>
      <c r="Z181" s="164"/>
      <c r="AA181" s="110"/>
      <c r="AB181" s="110"/>
      <c r="AC181" s="165"/>
      <c r="AD181" s="110"/>
    </row>
    <row r="182" spans="1:30" s="8" customFormat="1" ht="16.5" customHeight="1" x14ac:dyDescent="0.2">
      <c r="A182" s="156" t="s">
        <v>61</v>
      </c>
      <c r="B182" s="330" t="s">
        <v>59</v>
      </c>
      <c r="C182" s="166">
        <v>90</v>
      </c>
      <c r="D182" s="133"/>
      <c r="E182" s="133"/>
      <c r="F182" s="158">
        <v>115</v>
      </c>
      <c r="G182" s="134"/>
      <c r="H182" s="158">
        <v>115</v>
      </c>
      <c r="I182" s="133"/>
      <c r="J182" s="158">
        <v>115</v>
      </c>
      <c r="K182" s="396"/>
      <c r="L182" s="158">
        <v>115</v>
      </c>
      <c r="M182" s="166">
        <v>90</v>
      </c>
      <c r="N182" s="158">
        <v>115</v>
      </c>
      <c r="O182" s="166">
        <v>90</v>
      </c>
      <c r="P182" s="141">
        <v>115</v>
      </c>
      <c r="Q182" s="135"/>
      <c r="R182" s="498"/>
      <c r="S182" s="136">
        <f t="shared" si="25"/>
        <v>960</v>
      </c>
      <c r="T182" s="127"/>
      <c r="U182" s="167"/>
      <c r="V182" s="138">
        <f t="shared" si="26"/>
        <v>960</v>
      </c>
      <c r="X182" s="110"/>
      <c r="Y182" s="110"/>
      <c r="Z182" s="110"/>
      <c r="AA182" s="110"/>
      <c r="AB182" s="110"/>
      <c r="AC182" s="110"/>
    </row>
    <row r="183" spans="1:30" s="8" customFormat="1" ht="16.5" customHeight="1" x14ac:dyDescent="0.2">
      <c r="A183" s="168" t="s">
        <v>63</v>
      </c>
      <c r="B183" s="331" t="s">
        <v>89</v>
      </c>
      <c r="C183" s="169"/>
      <c r="D183" s="160"/>
      <c r="E183" s="132"/>
      <c r="G183" s="134"/>
      <c r="H183" s="170">
        <v>120</v>
      </c>
      <c r="I183" s="395"/>
      <c r="J183" s="110"/>
      <c r="K183" s="397"/>
      <c r="L183" s="171">
        <v>120</v>
      </c>
      <c r="M183" s="172"/>
      <c r="N183" s="158">
        <v>120</v>
      </c>
      <c r="O183" s="148">
        <v>100</v>
      </c>
      <c r="P183" s="141">
        <v>120</v>
      </c>
      <c r="Q183" s="135"/>
      <c r="R183" s="498"/>
      <c r="S183" s="136">
        <f t="shared" si="25"/>
        <v>580</v>
      </c>
      <c r="T183" s="143">
        <v>250</v>
      </c>
      <c r="U183" s="137"/>
      <c r="V183" s="138">
        <f t="shared" si="26"/>
        <v>330</v>
      </c>
      <c r="W183" s="538"/>
      <c r="X183" s="539"/>
      <c r="Y183" s="539"/>
      <c r="Z183" s="539"/>
      <c r="AA183" s="173"/>
      <c r="AB183" s="174"/>
      <c r="AC183" s="175"/>
      <c r="AD183" s="165"/>
    </row>
    <row r="184" spans="1:30" s="8" customFormat="1" ht="16.5" customHeight="1" x14ac:dyDescent="0.2">
      <c r="A184" s="156" t="s">
        <v>65</v>
      </c>
      <c r="B184" s="131" t="s">
        <v>62</v>
      </c>
      <c r="C184" s="176"/>
      <c r="D184" s="133"/>
      <c r="E184" s="133"/>
      <c r="F184" s="133"/>
      <c r="G184" s="134"/>
      <c r="H184" s="134"/>
      <c r="I184" s="398"/>
      <c r="J184" s="396"/>
      <c r="K184" s="133"/>
      <c r="L184" s="133"/>
      <c r="M184" s="169"/>
      <c r="N184" s="158">
        <v>115</v>
      </c>
      <c r="O184" s="169"/>
      <c r="P184" s="158">
        <v>115</v>
      </c>
      <c r="Q184" s="177"/>
      <c r="R184" s="499"/>
      <c r="S184" s="136">
        <f t="shared" si="25"/>
        <v>230</v>
      </c>
      <c r="T184" s="178"/>
      <c r="U184" s="137"/>
      <c r="V184" s="138">
        <f t="shared" si="26"/>
        <v>230</v>
      </c>
      <c r="W184" s="110"/>
      <c r="X184" s="110"/>
      <c r="Y184" s="165"/>
      <c r="Z184" s="110"/>
      <c r="AA184" s="110"/>
      <c r="AB184" s="110"/>
      <c r="AC184" s="110"/>
    </row>
    <row r="185" spans="1:30" s="8" customFormat="1" ht="16.5" customHeight="1" x14ac:dyDescent="0.2">
      <c r="A185" s="168" t="s">
        <v>197</v>
      </c>
      <c r="B185" s="331" t="s">
        <v>198</v>
      </c>
      <c r="C185" s="132"/>
      <c r="D185" s="132"/>
      <c r="E185" s="132"/>
      <c r="F185" s="158">
        <v>125</v>
      </c>
      <c r="G185" s="132"/>
      <c r="H185" s="132"/>
      <c r="I185" s="132"/>
      <c r="J185" s="132"/>
      <c r="K185" s="132"/>
      <c r="L185" s="132"/>
      <c r="M185" s="132"/>
      <c r="N185" s="158">
        <v>125</v>
      </c>
      <c r="O185" s="132"/>
      <c r="P185" s="132"/>
      <c r="Q185" s="179"/>
      <c r="R185" s="500"/>
      <c r="S185" s="136">
        <f t="shared" si="25"/>
        <v>250</v>
      </c>
      <c r="T185" s="119"/>
      <c r="U185" s="137"/>
      <c r="V185" s="138">
        <f>S185-T185-U185</f>
        <v>250</v>
      </c>
      <c r="W185" s="180"/>
      <c r="X185" s="181"/>
      <c r="Y185" s="182"/>
      <c r="Z185" s="181"/>
      <c r="AA185" s="183"/>
      <c r="AB185" s="110"/>
      <c r="AC185" s="110"/>
    </row>
    <row r="186" spans="1:30" x14ac:dyDescent="0.2">
      <c r="A186" s="184" t="s">
        <v>67</v>
      </c>
      <c r="B186" s="185">
        <v>120</v>
      </c>
      <c r="C186" s="186"/>
      <c r="D186" s="186"/>
      <c r="E186" s="186"/>
      <c r="F186" s="186"/>
      <c r="G186" s="186"/>
      <c r="H186" s="187"/>
      <c r="I186" s="399"/>
      <c r="J186" s="399"/>
      <c r="K186" s="399"/>
      <c r="L186" s="171">
        <v>120</v>
      </c>
      <c r="M186" s="187"/>
      <c r="N186" s="186"/>
      <c r="O186" s="188"/>
      <c r="P186" s="189"/>
      <c r="Q186" s="135"/>
      <c r="R186" s="498"/>
      <c r="S186" s="136">
        <f t="shared" si="25"/>
        <v>120</v>
      </c>
      <c r="T186" s="190"/>
      <c r="U186" s="190"/>
      <c r="V186" s="138">
        <f>S186-T186-U186</f>
        <v>120</v>
      </c>
      <c r="Y186" s="540"/>
      <c r="Z186" s="540"/>
      <c r="AA186" s="540"/>
      <c r="AB186" s="540"/>
      <c r="AC186" s="118"/>
      <c r="AD186" s="118"/>
    </row>
    <row r="187" spans="1:30" s="8" customFormat="1" ht="16.5" customHeight="1" thickBot="1" x14ac:dyDescent="0.25">
      <c r="A187" s="191" t="s">
        <v>199</v>
      </c>
      <c r="B187" s="192"/>
      <c r="C187" s="193"/>
      <c r="D187" s="194"/>
      <c r="E187" s="193"/>
      <c r="F187" s="193"/>
      <c r="G187" s="193"/>
      <c r="H187" s="193"/>
      <c r="I187" s="193"/>
      <c r="J187" s="507">
        <v>125</v>
      </c>
      <c r="K187" s="193"/>
      <c r="L187" s="193"/>
      <c r="M187" s="193"/>
      <c r="N187" s="193"/>
      <c r="O187" s="193"/>
      <c r="P187" s="193"/>
      <c r="Q187" s="196"/>
      <c r="R187" s="501"/>
      <c r="S187" s="136">
        <f t="shared" si="25"/>
        <v>125</v>
      </c>
      <c r="T187" s="198"/>
      <c r="U187" s="193">
        <v>125</v>
      </c>
      <c r="V187" s="199">
        <f t="shared" ref="V187:V195" si="27">S187-T187-U187</f>
        <v>0</v>
      </c>
      <c r="W187" s="110"/>
      <c r="X187" s="541"/>
      <c r="Y187" s="541"/>
      <c r="Z187" s="110"/>
      <c r="AA187" s="110"/>
      <c r="AB187" s="110"/>
      <c r="AC187" s="110"/>
    </row>
    <row r="188" spans="1:30" s="8" customFormat="1" ht="16.5" customHeight="1" x14ac:dyDescent="0.2">
      <c r="A188" s="200" t="s">
        <v>69</v>
      </c>
      <c r="B188" s="332" t="s">
        <v>91</v>
      </c>
      <c r="C188" s="202"/>
      <c r="D188" s="202"/>
      <c r="E188" s="157">
        <v>110</v>
      </c>
      <c r="F188" s="203">
        <v>130</v>
      </c>
      <c r="G188" s="157">
        <v>110</v>
      </c>
      <c r="H188" s="213"/>
      <c r="I188" s="157">
        <v>110</v>
      </c>
      <c r="J188" s="203">
        <v>130</v>
      </c>
      <c r="K188" s="157">
        <v>110</v>
      </c>
      <c r="L188" s="203">
        <v>130</v>
      </c>
      <c r="M188" s="157">
        <v>110</v>
      </c>
      <c r="N188" s="203">
        <v>130</v>
      </c>
      <c r="O188" s="204"/>
      <c r="P188" s="204"/>
      <c r="Q188" s="205"/>
      <c r="R188" s="502"/>
      <c r="S188" s="136">
        <f>SUM(C188:R188)</f>
        <v>1070</v>
      </c>
      <c r="T188" s="207">
        <v>800</v>
      </c>
      <c r="U188" s="208"/>
      <c r="V188" s="209">
        <f t="shared" si="27"/>
        <v>270</v>
      </c>
      <c r="W188" s="542"/>
      <c r="X188" s="543"/>
      <c r="Y188" s="543"/>
      <c r="Z188" s="543"/>
      <c r="AA188" s="175"/>
      <c r="AB188" s="110"/>
      <c r="AC188" s="110"/>
    </row>
    <row r="189" spans="1:30" s="8" customFormat="1" ht="16.5" customHeight="1" x14ac:dyDescent="0.2">
      <c r="A189" s="168" t="s">
        <v>70</v>
      </c>
      <c r="B189" s="331" t="s">
        <v>92</v>
      </c>
      <c r="C189" s="132"/>
      <c r="D189" s="210">
        <v>100</v>
      </c>
      <c r="E189" s="132"/>
      <c r="F189" s="132"/>
      <c r="G189" s="132"/>
      <c r="H189" s="210">
        <v>100</v>
      </c>
      <c r="I189" s="133"/>
      <c r="J189" s="401"/>
      <c r="K189" s="133"/>
      <c r="L189" s="203">
        <v>100</v>
      </c>
      <c r="M189" s="133"/>
      <c r="N189" s="203">
        <v>100</v>
      </c>
      <c r="O189" s="133"/>
      <c r="P189" s="133"/>
      <c r="Q189" s="211"/>
      <c r="R189" s="502"/>
      <c r="S189" s="136">
        <f t="shared" ref="S189:S192" si="28">SUM(C189:R189)</f>
        <v>400</v>
      </c>
      <c r="T189" s="212"/>
      <c r="U189" s="137"/>
      <c r="V189" s="138">
        <f t="shared" si="27"/>
        <v>400</v>
      </c>
      <c r="X189" s="110"/>
      <c r="Y189" s="110"/>
      <c r="Z189" s="110"/>
      <c r="AA189" s="110"/>
      <c r="AB189" s="110"/>
      <c r="AC189" s="110"/>
    </row>
    <row r="190" spans="1:30" s="8" customFormat="1" ht="16.5" customHeight="1" x14ac:dyDescent="0.2">
      <c r="A190" s="200" t="s">
        <v>71</v>
      </c>
      <c r="B190" s="332" t="s">
        <v>92</v>
      </c>
      <c r="C190" s="213"/>
      <c r="D190" s="210">
        <v>100</v>
      </c>
      <c r="E190" s="213"/>
      <c r="F190" s="213"/>
      <c r="G190" s="213"/>
      <c r="H190" s="210">
        <v>100</v>
      </c>
      <c r="I190" s="213"/>
      <c r="J190" s="110"/>
      <c r="K190" s="213"/>
      <c r="L190" s="203">
        <v>100</v>
      </c>
      <c r="M190" s="213"/>
      <c r="N190" s="210">
        <v>100</v>
      </c>
      <c r="O190" s="213"/>
      <c r="P190" s="213"/>
      <c r="Q190" s="201"/>
      <c r="R190" s="502"/>
      <c r="S190" s="136">
        <f t="shared" si="28"/>
        <v>400</v>
      </c>
      <c r="T190" s="212"/>
      <c r="U190" s="208"/>
      <c r="V190" s="209">
        <f t="shared" si="27"/>
        <v>400</v>
      </c>
      <c r="W190" s="146"/>
      <c r="X190" s="145"/>
      <c r="Y190" s="214"/>
      <c r="Z190" s="214"/>
      <c r="AA190" s="214"/>
      <c r="AB190" s="110"/>
      <c r="AC190" s="110"/>
    </row>
    <row r="191" spans="1:30" s="8" customFormat="1" ht="16.5" customHeight="1" x14ac:dyDescent="0.2">
      <c r="A191" s="168" t="s">
        <v>72</v>
      </c>
      <c r="B191" s="331" t="s">
        <v>93</v>
      </c>
      <c r="C191" s="213"/>
      <c r="D191" s="210">
        <v>97</v>
      </c>
      <c r="E191" s="213"/>
      <c r="F191" s="132"/>
      <c r="G191" s="132"/>
      <c r="H191" s="210">
        <v>97</v>
      </c>
      <c r="I191" s="132"/>
      <c r="J191" s="132"/>
      <c r="K191" s="157">
        <v>86</v>
      </c>
      <c r="L191" s="210">
        <v>97</v>
      </c>
      <c r="M191" s="215"/>
      <c r="N191" s="215"/>
      <c r="O191" s="157">
        <v>86</v>
      </c>
      <c r="P191" s="210">
        <v>97</v>
      </c>
      <c r="Q191" s="135"/>
      <c r="R191" s="502"/>
      <c r="S191" s="136">
        <f t="shared" si="28"/>
        <v>560</v>
      </c>
      <c r="T191" s="143">
        <v>250</v>
      </c>
      <c r="U191" s="137"/>
      <c r="V191" s="138">
        <f t="shared" si="27"/>
        <v>310</v>
      </c>
      <c r="X191" s="110"/>
      <c r="Y191" s="110"/>
      <c r="Z191" s="165"/>
      <c r="AA191" s="110"/>
      <c r="AB191" s="110"/>
      <c r="AC191" s="110"/>
    </row>
    <row r="192" spans="1:30" x14ac:dyDescent="0.2">
      <c r="A192" s="216" t="s">
        <v>74</v>
      </c>
      <c r="B192" s="331" t="s">
        <v>93</v>
      </c>
      <c r="C192" s="157">
        <v>86</v>
      </c>
      <c r="D192" s="215"/>
      <c r="E192" s="157">
        <v>86</v>
      </c>
      <c r="F192" s="210">
        <v>97</v>
      </c>
      <c r="G192" s="157">
        <v>86</v>
      </c>
      <c r="H192" s="134"/>
      <c r="I192" s="157">
        <v>86</v>
      </c>
      <c r="J192" s="210">
        <v>97</v>
      </c>
      <c r="K192" s="399"/>
      <c r="M192" s="187"/>
      <c r="N192" s="187"/>
      <c r="O192" s="157">
        <v>86</v>
      </c>
      <c r="P192" s="204"/>
      <c r="Q192" s="205"/>
      <c r="R192" s="502"/>
      <c r="S192" s="136">
        <f t="shared" si="28"/>
        <v>624</v>
      </c>
      <c r="T192" s="190"/>
      <c r="U192" s="190"/>
      <c r="V192" s="138">
        <f t="shared" si="27"/>
        <v>624</v>
      </c>
    </row>
    <row r="193" spans="1:29" s="8" customFormat="1" ht="16.5" customHeight="1" x14ac:dyDescent="0.2">
      <c r="A193" s="168" t="s">
        <v>75</v>
      </c>
      <c r="B193" s="331" t="s">
        <v>92</v>
      </c>
      <c r="C193" s="215"/>
      <c r="D193" s="215"/>
      <c r="E193" s="133"/>
      <c r="F193" s="133"/>
      <c r="G193" s="134"/>
      <c r="H193" s="134"/>
      <c r="I193" s="134"/>
      <c r="J193" s="133"/>
      <c r="K193" s="133"/>
      <c r="L193" s="133"/>
      <c r="M193" s="133"/>
      <c r="N193" s="133"/>
      <c r="O193" s="133"/>
      <c r="P193" s="210">
        <v>100</v>
      </c>
      <c r="Q193" s="218" t="s">
        <v>76</v>
      </c>
      <c r="R193" s="503"/>
      <c r="S193" s="136">
        <f>SUM(C193:R193)</f>
        <v>100</v>
      </c>
      <c r="T193" s="207"/>
      <c r="U193" s="137"/>
      <c r="V193" s="138">
        <f t="shared" si="27"/>
        <v>100</v>
      </c>
      <c r="W193" s="219" t="s">
        <v>77</v>
      </c>
      <c r="X193" s="220"/>
      <c r="Y193" s="220"/>
      <c r="Z193" s="220"/>
      <c r="AA193" s="221"/>
      <c r="AB193"/>
      <c r="AC193" s="110"/>
    </row>
    <row r="194" spans="1:29" s="8" customFormat="1" ht="16.5" customHeight="1" x14ac:dyDescent="0.2">
      <c r="A194" s="222" t="s">
        <v>78</v>
      </c>
      <c r="B194" s="333" t="s">
        <v>92</v>
      </c>
      <c r="C194" s="215"/>
      <c r="D194" s="215"/>
      <c r="E194" s="223"/>
      <c r="F194" s="215"/>
      <c r="G194" s="224"/>
      <c r="H194" s="224"/>
      <c r="I194" s="225"/>
      <c r="J194" s="215"/>
      <c r="K194" s="225"/>
      <c r="L194" s="215"/>
      <c r="M194" s="215"/>
      <c r="N194" s="225"/>
      <c r="O194" s="225"/>
      <c r="P194" s="210">
        <v>100</v>
      </c>
      <c r="Q194" s="226"/>
      <c r="R194" s="504"/>
      <c r="S194" s="136">
        <f t="shared" ref="S194" si="29">SUM(C194:R194)</f>
        <v>100</v>
      </c>
      <c r="T194" s="227"/>
      <c r="U194" s="228"/>
      <c r="V194" s="163">
        <f t="shared" si="27"/>
        <v>100</v>
      </c>
      <c r="X194" s="217"/>
      <c r="Y194" s="217"/>
      <c r="Z194" s="217"/>
      <c r="AA194" s="110"/>
      <c r="AB194"/>
    </row>
    <row r="195" spans="1:29" x14ac:dyDescent="0.2">
      <c r="A195" s="216" t="s">
        <v>79</v>
      </c>
      <c r="B195" s="331" t="s">
        <v>93</v>
      </c>
      <c r="D195" s="158">
        <v>110</v>
      </c>
      <c r="E195" s="187"/>
      <c r="F195" s="210">
        <v>75.5</v>
      </c>
      <c r="G195" s="187"/>
      <c r="H195" s="187"/>
      <c r="I195" s="399"/>
      <c r="J195" s="210">
        <v>97</v>
      </c>
      <c r="K195" s="399"/>
      <c r="L195" s="210">
        <v>97</v>
      </c>
      <c r="M195" s="157">
        <v>86</v>
      </c>
      <c r="N195" s="210">
        <v>97</v>
      </c>
      <c r="O195" s="215"/>
      <c r="P195" s="215"/>
      <c r="Q195" s="205"/>
      <c r="R195" s="502"/>
      <c r="S195" s="136">
        <f>SUM(C195:R195)</f>
        <v>562.5</v>
      </c>
      <c r="T195" s="190"/>
      <c r="U195" s="190"/>
      <c r="V195" s="138">
        <f t="shared" si="27"/>
        <v>562.5</v>
      </c>
    </row>
    <row r="196" spans="1:29" s="8" customFormat="1" ht="16.5" customHeight="1" x14ac:dyDescent="0.2">
      <c r="A196" s="216" t="s">
        <v>200</v>
      </c>
      <c r="B196" s="331" t="s">
        <v>93</v>
      </c>
      <c r="C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0">
        <v>90</v>
      </c>
      <c r="O196" s="215"/>
      <c r="P196" s="210">
        <v>90</v>
      </c>
      <c r="Q196" s="205"/>
      <c r="R196" s="502"/>
      <c r="S196" s="136">
        <f t="shared" ref="S196:S198" si="30">SUM(C196:R196)</f>
        <v>180</v>
      </c>
      <c r="T196" s="127"/>
      <c r="U196" s="137"/>
      <c r="V196" s="138">
        <f>S196-T196-U196</f>
        <v>180</v>
      </c>
      <c r="W196" s="221" t="s">
        <v>203</v>
      </c>
      <c r="X196" s="508"/>
      <c r="Y196" s="508"/>
      <c r="Z196" s="508"/>
      <c r="AA196" s="221"/>
      <c r="AB196" s="221"/>
      <c r="AC196" s="221"/>
    </row>
    <row r="197" spans="1:29" x14ac:dyDescent="0.2">
      <c r="A197" s="216"/>
      <c r="B197" s="360"/>
      <c r="C197" s="187"/>
      <c r="D197" s="187"/>
      <c r="E197" s="187"/>
      <c r="F197" s="187"/>
      <c r="G197" s="187"/>
      <c r="H197" s="187"/>
      <c r="I197" s="399"/>
      <c r="J197" s="399"/>
      <c r="K197" s="399"/>
      <c r="L197" s="187"/>
      <c r="M197" s="187"/>
      <c r="N197" s="187"/>
      <c r="O197" s="187"/>
      <c r="P197" s="187"/>
      <c r="Q197" s="205"/>
      <c r="R197" s="502"/>
      <c r="S197" s="136">
        <f t="shared" si="30"/>
        <v>0</v>
      </c>
      <c r="T197" s="190"/>
      <c r="U197" s="190"/>
      <c r="V197" s="138"/>
    </row>
    <row r="198" spans="1:29" s="8" customFormat="1" ht="16.5" customHeight="1" x14ac:dyDescent="0.2">
      <c r="A198" s="168"/>
      <c r="B198" s="360"/>
      <c r="C198" s="133"/>
      <c r="D198" s="133"/>
      <c r="E198" s="133"/>
      <c r="F198" s="133"/>
      <c r="G198" s="134"/>
      <c r="H198" s="134"/>
      <c r="I198" s="133"/>
      <c r="J198" s="133"/>
      <c r="K198" s="133"/>
      <c r="L198" s="133"/>
      <c r="M198" s="133"/>
      <c r="N198" s="133"/>
      <c r="O198" s="213"/>
      <c r="P198" s="213"/>
      <c r="Q198" s="211"/>
      <c r="R198" s="502"/>
      <c r="S198" s="136">
        <f t="shared" si="30"/>
        <v>0</v>
      </c>
      <c r="T198" s="212"/>
      <c r="U198" s="137"/>
      <c r="V198" s="138"/>
      <c r="W198" s="182"/>
      <c r="X198" s="181"/>
      <c r="Z198" s="110"/>
      <c r="AA198" s="110"/>
      <c r="AB198" s="110"/>
      <c r="AC198" s="110"/>
    </row>
    <row r="199" spans="1:29" s="8" customFormat="1" ht="16.5" customHeight="1" x14ac:dyDescent="0.2">
      <c r="A199" s="229"/>
      <c r="B199" s="229"/>
      <c r="C199" s="230">
        <f>SUM(C177:C197)</f>
        <v>756</v>
      </c>
      <c r="D199" s="230">
        <f>SUM(D177:D197)</f>
        <v>782</v>
      </c>
      <c r="E199" s="230">
        <f>SUM(E177:E197)</f>
        <v>406</v>
      </c>
      <c r="F199" s="230">
        <f>SUM(F177:F197)</f>
        <v>787.5</v>
      </c>
      <c r="G199" s="230">
        <f>SUM(G177:G198)</f>
        <v>406</v>
      </c>
      <c r="H199" s="230">
        <f>SUM(H177:H197)</f>
        <v>777</v>
      </c>
      <c r="I199" s="230">
        <f>SUM(I177:I197)</f>
        <v>411</v>
      </c>
      <c r="J199" s="230">
        <f>SUM(J177:J197)</f>
        <v>814</v>
      </c>
      <c r="K199" s="230">
        <f>SUM(K177:K197)</f>
        <v>526</v>
      </c>
      <c r="L199" s="230">
        <f>SUM(L177:L198)</f>
        <v>1254</v>
      </c>
      <c r="M199" s="230">
        <f>SUM(M177:M197)</f>
        <v>521</v>
      </c>
      <c r="N199" s="230">
        <f>SUM(N177:N198)</f>
        <v>1247</v>
      </c>
      <c r="O199" s="230">
        <f>SUM(O177:O198)</f>
        <v>482</v>
      </c>
      <c r="P199" s="230">
        <f>SUM(P177:P198)</f>
        <v>867</v>
      </c>
      <c r="Q199" s="230">
        <f>SUM(Q177:Q197)</f>
        <v>0</v>
      </c>
      <c r="R199" s="230">
        <f>SUM(R177:R197)</f>
        <v>0</v>
      </c>
      <c r="S199" s="231">
        <f>SUM(S177:S198)</f>
        <v>10036.5</v>
      </c>
      <c r="T199" s="230">
        <f>SUM(T179:T198)</f>
        <v>3407</v>
      </c>
      <c r="U199" s="232">
        <f>SUM(U177:U198)</f>
        <v>125</v>
      </c>
      <c r="V199" s="233">
        <f>SUM(V177:V198)</f>
        <v>6504.5</v>
      </c>
    </row>
    <row r="200" spans="1:29" s="8" customFormat="1" ht="16.5" customHeight="1" x14ac:dyDescent="0.2">
      <c r="A200" s="160"/>
      <c r="B200" s="234"/>
      <c r="C200" s="235"/>
      <c r="D200" s="235">
        <f>C199+D199</f>
        <v>1538</v>
      </c>
      <c r="E200" s="235"/>
      <c r="F200" s="235">
        <f>E199+F199</f>
        <v>1193.5</v>
      </c>
      <c r="G200" s="235"/>
      <c r="H200" s="235">
        <f>G199+H199</f>
        <v>1183</v>
      </c>
      <c r="I200" s="235"/>
      <c r="J200" s="235">
        <f>I199+J199</f>
        <v>1225</v>
      </c>
      <c r="K200" s="235"/>
      <c r="L200" s="235">
        <f>K199+L199</f>
        <v>1780</v>
      </c>
      <c r="M200" s="235"/>
      <c r="N200" s="235">
        <f>M199+N199</f>
        <v>1768</v>
      </c>
      <c r="O200" s="235"/>
      <c r="P200" s="235">
        <f>O199+P199</f>
        <v>1349</v>
      </c>
      <c r="Q200" s="236"/>
      <c r="R200" s="497"/>
      <c r="S200" s="237" t="s">
        <v>116</v>
      </c>
      <c r="T200" s="544">
        <f>T199+U199</f>
        <v>3532</v>
      </c>
      <c r="U200" s="545"/>
      <c r="V200" s="391" t="s">
        <v>149</v>
      </c>
    </row>
    <row r="201" spans="1:29" s="8" customFormat="1" ht="16.5" customHeight="1" x14ac:dyDescent="0.2">
      <c r="A201" s="238" t="s">
        <v>80</v>
      </c>
      <c r="B201" s="238"/>
      <c r="C201" s="239"/>
      <c r="D201" s="239"/>
      <c r="E201" s="239"/>
      <c r="F201" s="239"/>
      <c r="G201" s="239"/>
      <c r="H201" s="239"/>
      <c r="I201" s="239"/>
      <c r="J201" s="239"/>
      <c r="K201" s="239"/>
      <c r="L201" s="239"/>
      <c r="M201" s="239"/>
      <c r="N201" s="239"/>
      <c r="O201" s="239" t="s">
        <v>81</v>
      </c>
      <c r="P201" s="240">
        <f>SUM(C188:R197)</f>
        <v>3996.5</v>
      </c>
      <c r="Q201" s="239"/>
      <c r="U201" s="119"/>
    </row>
    <row r="202" spans="1:29" s="8" customFormat="1" ht="16.5" customHeight="1" x14ac:dyDescent="0.2">
      <c r="A202" s="241" t="s">
        <v>82</v>
      </c>
      <c r="B202" s="241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 t="s">
        <v>83</v>
      </c>
      <c r="P202" s="243">
        <f>SUM(C179:R185)</f>
        <v>5545</v>
      </c>
      <c r="Q202" s="243">
        <f>P201+P202</f>
        <v>9541.5</v>
      </c>
      <c r="U202" s="119"/>
    </row>
    <row r="203" spans="1:29" s="8" customFormat="1" ht="16.5" customHeight="1" x14ac:dyDescent="0.2">
      <c r="A203" s="244"/>
      <c r="B203" s="244"/>
      <c r="R203" s="245" t="s">
        <v>84</v>
      </c>
      <c r="S203" s="246">
        <f>C199+E199+G199+I199+K199+M199+O199</f>
        <v>3508</v>
      </c>
      <c r="T203" s="119"/>
    </row>
    <row r="204" spans="1:29" s="8" customFormat="1" x14ac:dyDescent="0.2">
      <c r="A204" s="244"/>
      <c r="B204" s="244"/>
      <c r="D204" s="110"/>
      <c r="E204" s="546"/>
      <c r="F204" s="546"/>
      <c r="G204" s="546"/>
      <c r="H204" s="546"/>
      <c r="I204" s="546"/>
      <c r="J204" s="546"/>
      <c r="K204" s="546"/>
      <c r="L204" s="546"/>
      <c r="R204" s="247" t="s">
        <v>85</v>
      </c>
      <c r="S204" s="248">
        <f>D199+F199+H199+J199+L199+N199+P199+Q199</f>
        <v>6528.5</v>
      </c>
      <c r="T204" s="119"/>
    </row>
    <row r="205" spans="1:29" x14ac:dyDescent="0.2">
      <c r="E205" s="389"/>
      <c r="F205" s="389"/>
      <c r="G205" s="389"/>
      <c r="H205" s="389"/>
      <c r="I205" s="389"/>
      <c r="J205" s="389"/>
      <c r="K205" s="389"/>
      <c r="L205" s="389"/>
      <c r="M205" s="118"/>
    </row>
    <row r="208" spans="1:29" x14ac:dyDescent="0.2">
      <c r="A208" s="551" t="s">
        <v>46</v>
      </c>
      <c r="B208" s="551"/>
      <c r="C208" s="552"/>
      <c r="D208" s="552"/>
      <c r="E208" s="118"/>
    </row>
    <row r="209" spans="1:30" s="8" customFormat="1" ht="16.5" customHeight="1" x14ac:dyDescent="0.2">
      <c r="A209" s="553" t="s">
        <v>86</v>
      </c>
      <c r="B209" s="554"/>
      <c r="C209" s="547" t="s">
        <v>34</v>
      </c>
      <c r="D209" s="547"/>
      <c r="E209" s="547" t="s">
        <v>35</v>
      </c>
      <c r="F209" s="547"/>
      <c r="G209" s="547" t="s">
        <v>36</v>
      </c>
      <c r="H209" s="547"/>
      <c r="I209" s="547" t="s">
        <v>37</v>
      </c>
      <c r="J209" s="547"/>
      <c r="K209" s="547" t="s">
        <v>38</v>
      </c>
      <c r="L209" s="547"/>
      <c r="M209" s="547" t="s">
        <v>40</v>
      </c>
      <c r="N209" s="547"/>
      <c r="O209" s="547" t="s">
        <v>41</v>
      </c>
      <c r="P209" s="547"/>
      <c r="T209" s="119"/>
    </row>
    <row r="210" spans="1:30" s="8" customFormat="1" ht="16.5" customHeight="1" x14ac:dyDescent="0.2">
      <c r="A210" s="120"/>
      <c r="B210" s="121" t="s">
        <v>47</v>
      </c>
      <c r="C210" s="548">
        <v>46062</v>
      </c>
      <c r="D210" s="549"/>
      <c r="E210" s="548">
        <v>46063</v>
      </c>
      <c r="F210" s="549"/>
      <c r="G210" s="548">
        <v>46064</v>
      </c>
      <c r="H210" s="549"/>
      <c r="I210" s="548">
        <v>46065</v>
      </c>
      <c r="J210" s="549"/>
      <c r="K210" s="548">
        <v>46066</v>
      </c>
      <c r="L210" s="549"/>
      <c r="M210" s="548">
        <v>46067</v>
      </c>
      <c r="N210" s="549"/>
      <c r="O210" s="548">
        <v>46068</v>
      </c>
      <c r="P210" s="549"/>
      <c r="Q210" s="126"/>
      <c r="R210" s="126"/>
      <c r="S210" s="123"/>
      <c r="T210" s="124"/>
      <c r="V210" s="119"/>
    </row>
    <row r="211" spans="1:30" s="8" customFormat="1" ht="16.5" customHeight="1" x14ac:dyDescent="0.2">
      <c r="A211" s="120"/>
      <c r="B211" s="120" t="s">
        <v>48</v>
      </c>
      <c r="C211" s="125" t="s">
        <v>4</v>
      </c>
      <c r="D211" s="125" t="s">
        <v>5</v>
      </c>
      <c r="E211" s="125" t="s">
        <v>4</v>
      </c>
      <c r="F211" s="125" t="s">
        <v>5</v>
      </c>
      <c r="G211" s="125" t="s">
        <v>4</v>
      </c>
      <c r="H211" s="125" t="s">
        <v>5</v>
      </c>
      <c r="I211" s="125" t="s">
        <v>4</v>
      </c>
      <c r="J211" s="125" t="s">
        <v>5</v>
      </c>
      <c r="K211" s="125" t="s">
        <v>4</v>
      </c>
      <c r="L211" s="125" t="s">
        <v>5</v>
      </c>
      <c r="M211" s="125" t="s">
        <v>4</v>
      </c>
      <c r="N211" s="125" t="s">
        <v>5</v>
      </c>
      <c r="O211" s="125" t="s">
        <v>4</v>
      </c>
      <c r="P211" s="125" t="s">
        <v>5</v>
      </c>
      <c r="Q211" s="126" t="s">
        <v>49</v>
      </c>
      <c r="R211" s="126" t="s">
        <v>192</v>
      </c>
      <c r="S211" s="123" t="s">
        <v>50</v>
      </c>
      <c r="T211" s="127" t="s">
        <v>51</v>
      </c>
      <c r="U211" s="128" t="s">
        <v>52</v>
      </c>
      <c r="V211" s="505" t="s">
        <v>53</v>
      </c>
    </row>
    <row r="212" spans="1:30" s="8" customFormat="1" ht="16.5" customHeight="1" x14ac:dyDescent="0.2">
      <c r="A212" s="130" t="s">
        <v>54</v>
      </c>
      <c r="B212" s="131">
        <v>250</v>
      </c>
      <c r="C212" s="135">
        <v>250</v>
      </c>
      <c r="D212" s="133"/>
      <c r="E212" s="133"/>
      <c r="F212" s="133"/>
      <c r="G212" s="134"/>
      <c r="H212" s="134"/>
      <c r="I212" s="133"/>
      <c r="J212" s="133"/>
      <c r="K212" s="133"/>
      <c r="L212" s="133"/>
      <c r="M212" s="133"/>
      <c r="N212" s="133"/>
      <c r="O212" s="133"/>
      <c r="P212" s="133"/>
      <c r="Q212" s="135"/>
      <c r="R212" s="498"/>
      <c r="S212" s="136">
        <f>SUM(C212:R212)</f>
        <v>250</v>
      </c>
      <c r="T212" s="123"/>
      <c r="U212" s="137"/>
      <c r="V212" s="138">
        <f t="shared" ref="V212:V213" si="31">S212-T212-U212</f>
        <v>250</v>
      </c>
      <c r="W212" s="139"/>
      <c r="X212" s="110"/>
      <c r="Y212" s="110"/>
      <c r="Z212" s="110"/>
      <c r="AA212" s="110"/>
      <c r="AB212" s="110"/>
      <c r="AC212" s="110"/>
    </row>
    <row r="213" spans="1:30" s="8" customFormat="1" ht="16.5" customHeight="1" x14ac:dyDescent="0.2">
      <c r="A213" s="130" t="s">
        <v>66</v>
      </c>
      <c r="B213" s="331" t="s">
        <v>94</v>
      </c>
      <c r="C213" s="132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5"/>
      <c r="R213" s="498"/>
      <c r="S213" s="136">
        <f t="shared" ref="S213" si="32">SUM(C213:R213)</f>
        <v>0</v>
      </c>
      <c r="T213" s="123"/>
      <c r="U213" s="137"/>
      <c r="V213" s="138">
        <f t="shared" si="31"/>
        <v>0</v>
      </c>
      <c r="W213" s="139"/>
      <c r="X213" s="110"/>
      <c r="Y213" s="110"/>
      <c r="Z213" s="110"/>
      <c r="AA213" s="110"/>
      <c r="AB213" s="110"/>
      <c r="AC213" s="110"/>
    </row>
    <row r="214" spans="1:30" s="147" customFormat="1" ht="16.5" customHeight="1" x14ac:dyDescent="0.2">
      <c r="A214" s="130" t="s">
        <v>55</v>
      </c>
      <c r="B214" s="330" t="s">
        <v>87</v>
      </c>
      <c r="C214" s="140">
        <v>120</v>
      </c>
      <c r="D214" s="141">
        <v>130</v>
      </c>
      <c r="E214" s="133"/>
      <c r="F214" s="133"/>
      <c r="G214" s="142"/>
      <c r="H214" s="142"/>
      <c r="I214" s="140">
        <v>120</v>
      </c>
      <c r="J214" s="141">
        <v>130</v>
      </c>
      <c r="K214" s="140">
        <v>120</v>
      </c>
      <c r="L214" s="141">
        <v>130</v>
      </c>
      <c r="M214" s="140">
        <v>120</v>
      </c>
      <c r="N214" s="141">
        <v>130</v>
      </c>
      <c r="O214" s="140">
        <v>120</v>
      </c>
      <c r="P214" s="141">
        <v>130</v>
      </c>
      <c r="Q214" s="135"/>
      <c r="R214" s="498"/>
      <c r="S214" s="136">
        <f>SUM(C214:R214)</f>
        <v>1250</v>
      </c>
      <c r="T214" s="143">
        <v>962</v>
      </c>
      <c r="U214" s="137"/>
      <c r="V214" s="138">
        <f>S214-T214-U214</f>
        <v>288</v>
      </c>
      <c r="W214" s="550"/>
      <c r="X214" s="541"/>
      <c r="Y214" s="541"/>
      <c r="Z214" s="541"/>
      <c r="AA214" s="144"/>
      <c r="AB214" s="145"/>
      <c r="AC214" s="146"/>
    </row>
    <row r="215" spans="1:30" s="147" customFormat="1" ht="16.5" customHeight="1" x14ac:dyDescent="0.2">
      <c r="A215" s="130" t="s">
        <v>56</v>
      </c>
      <c r="B215" s="330" t="s">
        <v>88</v>
      </c>
      <c r="C215" s="148">
        <v>115</v>
      </c>
      <c r="D215" s="141">
        <v>125</v>
      </c>
      <c r="E215" s="148">
        <v>115</v>
      </c>
      <c r="F215" s="141">
        <v>125</v>
      </c>
      <c r="G215" s="148">
        <v>115</v>
      </c>
      <c r="H215" s="141">
        <v>125</v>
      </c>
      <c r="I215" s="133"/>
      <c r="J215" s="395"/>
      <c r="K215" s="148">
        <v>115</v>
      </c>
      <c r="L215" s="141">
        <v>125</v>
      </c>
      <c r="M215" s="148">
        <v>115</v>
      </c>
      <c r="N215" s="141">
        <v>125</v>
      </c>
      <c r="O215" s="149"/>
      <c r="P215" s="150"/>
      <c r="Q215" s="151"/>
      <c r="R215" s="498"/>
      <c r="S215" s="136">
        <f t="shared" ref="S215:S222" si="33">SUM(C215:R215)</f>
        <v>1200</v>
      </c>
      <c r="T215" s="152"/>
      <c r="U215" s="137"/>
      <c r="V215" s="138">
        <f t="shared" ref="V215:V219" si="34">S215-T215-U215</f>
        <v>1200</v>
      </c>
      <c r="W215" s="153" t="s">
        <v>57</v>
      </c>
      <c r="X215" s="153"/>
      <c r="Y215" s="154">
        <f>V215-463</f>
        <v>737</v>
      </c>
      <c r="Z215" s="155"/>
      <c r="AA215" s="144"/>
      <c r="AB215" s="145"/>
      <c r="AC215" s="145"/>
    </row>
    <row r="216" spans="1:30" s="8" customFormat="1" ht="16.5" customHeight="1" x14ac:dyDescent="0.2">
      <c r="A216" s="156" t="s">
        <v>58</v>
      </c>
      <c r="B216" s="330" t="s">
        <v>64</v>
      </c>
      <c r="C216" s="157">
        <v>95</v>
      </c>
      <c r="D216" s="158">
        <v>120</v>
      </c>
      <c r="E216" s="159">
        <v>95</v>
      </c>
      <c r="F216" s="158">
        <v>120</v>
      </c>
      <c r="G216" s="159">
        <v>95</v>
      </c>
      <c r="H216" s="158">
        <v>120</v>
      </c>
      <c r="I216" s="159">
        <v>95</v>
      </c>
      <c r="J216" s="158">
        <v>120</v>
      </c>
      <c r="K216" s="159">
        <v>95</v>
      </c>
      <c r="L216" s="158">
        <v>120</v>
      </c>
      <c r="M216" s="160"/>
      <c r="N216" s="160"/>
      <c r="O216" s="160"/>
      <c r="P216" s="160"/>
      <c r="Q216" s="161"/>
      <c r="R216" s="498"/>
      <c r="S216" s="136">
        <f t="shared" si="33"/>
        <v>1075</v>
      </c>
      <c r="T216" s="143">
        <v>1145</v>
      </c>
      <c r="U216" s="162"/>
      <c r="V216" s="163">
        <f t="shared" si="34"/>
        <v>-70</v>
      </c>
      <c r="W216" s="536" t="s">
        <v>60</v>
      </c>
      <c r="X216" s="537"/>
      <c r="Y216" s="537"/>
      <c r="Z216" s="164"/>
      <c r="AA216" s="110"/>
      <c r="AB216" s="110"/>
      <c r="AC216" s="165"/>
      <c r="AD216" s="110"/>
    </row>
    <row r="217" spans="1:30" s="8" customFormat="1" ht="16.5" customHeight="1" x14ac:dyDescent="0.2">
      <c r="A217" s="156" t="s">
        <v>61</v>
      </c>
      <c r="B217" s="330" t="s">
        <v>59</v>
      </c>
      <c r="C217" s="166">
        <v>90</v>
      </c>
      <c r="D217" s="133"/>
      <c r="E217" s="133"/>
      <c r="F217" s="158">
        <v>115</v>
      </c>
      <c r="G217" s="134"/>
      <c r="H217" s="158">
        <v>115</v>
      </c>
      <c r="I217" s="133"/>
      <c r="J217" s="158">
        <v>115</v>
      </c>
      <c r="K217" s="396"/>
      <c r="L217" s="158">
        <v>115</v>
      </c>
      <c r="M217" s="166">
        <v>90</v>
      </c>
      <c r="N217" s="158">
        <v>115</v>
      </c>
      <c r="O217" s="166">
        <v>90</v>
      </c>
      <c r="P217" s="141">
        <v>115</v>
      </c>
      <c r="Q217" s="135"/>
      <c r="R217" s="498"/>
      <c r="S217" s="136">
        <f t="shared" si="33"/>
        <v>960</v>
      </c>
      <c r="T217" s="127"/>
      <c r="U217" s="167"/>
      <c r="V217" s="138">
        <f t="shared" si="34"/>
        <v>960</v>
      </c>
      <c r="X217" s="110"/>
      <c r="Y217" s="110"/>
      <c r="Z217" s="110"/>
      <c r="AA217" s="110"/>
      <c r="AB217" s="110"/>
      <c r="AC217" s="110"/>
    </row>
    <row r="218" spans="1:30" s="8" customFormat="1" ht="16.5" customHeight="1" x14ac:dyDescent="0.2">
      <c r="A218" s="168" t="s">
        <v>63</v>
      </c>
      <c r="B218" s="331" t="s">
        <v>89</v>
      </c>
      <c r="C218" s="169"/>
      <c r="D218" s="160"/>
      <c r="E218" s="132"/>
      <c r="G218" s="134"/>
      <c r="H218" s="170">
        <v>120</v>
      </c>
      <c r="I218" s="395"/>
      <c r="J218" s="110"/>
      <c r="K218" s="397"/>
      <c r="L218" s="171">
        <v>120</v>
      </c>
      <c r="M218" s="172"/>
      <c r="N218" s="158">
        <v>120</v>
      </c>
      <c r="O218" s="148">
        <v>100</v>
      </c>
      <c r="P218" s="141">
        <v>120</v>
      </c>
      <c r="Q218" s="135"/>
      <c r="R218" s="498"/>
      <c r="S218" s="136">
        <f t="shared" si="33"/>
        <v>580</v>
      </c>
      <c r="T218" s="143">
        <v>250</v>
      </c>
      <c r="U218" s="137"/>
      <c r="V218" s="138">
        <f t="shared" si="34"/>
        <v>330</v>
      </c>
      <c r="W218" s="538" t="s">
        <v>209</v>
      </c>
      <c r="X218" s="539"/>
      <c r="Y218" s="539"/>
      <c r="Z218" s="539"/>
      <c r="AA218" s="518">
        <f>V218-300</f>
        <v>30</v>
      </c>
      <c r="AB218" s="520"/>
      <c r="AC218" s="175"/>
      <c r="AD218" s="165"/>
    </row>
    <row r="219" spans="1:30" s="8" customFormat="1" ht="16.5" customHeight="1" x14ac:dyDescent="0.2">
      <c r="A219" s="156" t="s">
        <v>65</v>
      </c>
      <c r="B219" s="131" t="s">
        <v>62</v>
      </c>
      <c r="C219" s="176"/>
      <c r="D219" s="133"/>
      <c r="E219" s="133"/>
      <c r="F219" s="133"/>
      <c r="G219" s="134"/>
      <c r="H219" s="134"/>
      <c r="I219" s="398"/>
      <c r="J219" s="396"/>
      <c r="K219" s="133"/>
      <c r="L219" s="133"/>
      <c r="M219" s="169"/>
      <c r="N219" s="158">
        <v>115</v>
      </c>
      <c r="O219" s="169"/>
      <c r="P219" s="158">
        <v>115</v>
      </c>
      <c r="Q219" s="177"/>
      <c r="R219" s="499"/>
      <c r="S219" s="136">
        <f t="shared" si="33"/>
        <v>230</v>
      </c>
      <c r="T219" s="178"/>
      <c r="U219" s="137"/>
      <c r="V219" s="138">
        <f t="shared" si="34"/>
        <v>230</v>
      </c>
      <c r="W219" s="110"/>
      <c r="X219" s="110"/>
      <c r="Y219" s="165"/>
      <c r="Z219" s="110"/>
      <c r="AA219" s="110"/>
      <c r="AB219" s="110"/>
      <c r="AC219" s="110"/>
    </row>
    <row r="220" spans="1:30" s="8" customFormat="1" ht="16.5" customHeight="1" x14ac:dyDescent="0.2">
      <c r="A220" s="168" t="s">
        <v>68</v>
      </c>
      <c r="B220" s="331" t="s">
        <v>90</v>
      </c>
      <c r="C220" s="132"/>
      <c r="D220" s="132"/>
      <c r="E220" s="132"/>
      <c r="F220" s="158">
        <v>120</v>
      </c>
      <c r="G220" s="132"/>
      <c r="H220" s="132"/>
      <c r="I220" s="132"/>
      <c r="J220" s="158">
        <v>120</v>
      </c>
      <c r="K220" s="132"/>
      <c r="L220" s="132"/>
      <c r="M220" s="132"/>
      <c r="N220" s="158">
        <v>120</v>
      </c>
      <c r="O220" s="132"/>
      <c r="P220" s="158">
        <v>120</v>
      </c>
      <c r="Q220" s="179"/>
      <c r="R220" s="500"/>
      <c r="S220" s="136">
        <f t="shared" si="33"/>
        <v>480</v>
      </c>
      <c r="T220" s="119"/>
      <c r="U220" s="137"/>
      <c r="V220" s="138">
        <f>S220-T220-U220</f>
        <v>480</v>
      </c>
      <c r="W220" s="180"/>
      <c r="X220" s="181"/>
      <c r="Y220" s="182"/>
      <c r="Z220" s="181"/>
      <c r="AA220" s="183"/>
      <c r="AB220" s="110"/>
      <c r="AC220" s="110"/>
    </row>
    <row r="221" spans="1:30" x14ac:dyDescent="0.2">
      <c r="A221" s="184" t="s">
        <v>67</v>
      </c>
      <c r="B221" s="185">
        <v>120</v>
      </c>
      <c r="C221" s="186"/>
      <c r="D221" s="186"/>
      <c r="E221" s="186"/>
      <c r="F221" s="186"/>
      <c r="G221" s="186"/>
      <c r="H221" s="187"/>
      <c r="I221" s="399"/>
      <c r="J221" s="399"/>
      <c r="K221" s="399"/>
      <c r="L221" s="171">
        <v>120</v>
      </c>
      <c r="M221" s="187"/>
      <c r="N221" s="186"/>
      <c r="O221" s="188"/>
      <c r="P221" s="189"/>
      <c r="Q221" s="135"/>
      <c r="R221" s="498"/>
      <c r="S221" s="136">
        <f t="shared" si="33"/>
        <v>120</v>
      </c>
      <c r="T221" s="190"/>
      <c r="U221" s="190"/>
      <c r="V221" s="138">
        <f>S221-T221-U221</f>
        <v>120</v>
      </c>
      <c r="Y221" s="540"/>
      <c r="Z221" s="540"/>
      <c r="AA221" s="540"/>
      <c r="AB221" s="540"/>
      <c r="AC221" s="118"/>
      <c r="AD221" s="118"/>
    </row>
    <row r="222" spans="1:30" s="8" customFormat="1" ht="16.5" customHeight="1" thickBot="1" x14ac:dyDescent="0.25">
      <c r="A222" s="191"/>
      <c r="B222" s="192"/>
      <c r="C222" s="193"/>
      <c r="D222" s="194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6"/>
      <c r="R222" s="501"/>
      <c r="S222" s="136">
        <f t="shared" si="33"/>
        <v>0</v>
      </c>
      <c r="T222" s="198"/>
      <c r="U222" s="193"/>
      <c r="V222" s="199">
        <f t="shared" ref="V222:V230" si="35">S222-T222-U222</f>
        <v>0</v>
      </c>
      <c r="W222" s="110"/>
      <c r="X222" s="541"/>
      <c r="Y222" s="541"/>
      <c r="Z222" s="110"/>
      <c r="AA222" s="110"/>
      <c r="AB222" s="110"/>
      <c r="AC222" s="110"/>
    </row>
    <row r="223" spans="1:30" s="8" customFormat="1" ht="16.5" customHeight="1" x14ac:dyDescent="0.2">
      <c r="A223" s="200" t="s">
        <v>69</v>
      </c>
      <c r="B223" s="332" t="s">
        <v>91</v>
      </c>
      <c r="C223" s="202"/>
      <c r="D223" s="202"/>
      <c r="E223" s="157">
        <v>110</v>
      </c>
      <c r="F223" s="203">
        <v>130</v>
      </c>
      <c r="G223" s="157">
        <v>110</v>
      </c>
      <c r="H223" s="203">
        <v>130</v>
      </c>
      <c r="I223" s="157">
        <v>110</v>
      </c>
      <c r="J223" s="203">
        <v>130</v>
      </c>
      <c r="K223" s="157">
        <v>110</v>
      </c>
      <c r="L223" s="203">
        <v>130</v>
      </c>
      <c r="M223" s="157">
        <v>110</v>
      </c>
      <c r="N223" s="203">
        <v>130</v>
      </c>
      <c r="O223" s="204"/>
      <c r="P223" s="204"/>
      <c r="Q223" s="205">
        <v>5</v>
      </c>
      <c r="R223" s="502"/>
      <c r="S223" s="136">
        <f>SUM(C223:R223)</f>
        <v>1205</v>
      </c>
      <c r="T223" s="207">
        <v>800</v>
      </c>
      <c r="U223" s="208"/>
      <c r="V223" s="209">
        <f t="shared" si="35"/>
        <v>405</v>
      </c>
      <c r="W223" s="542"/>
      <c r="X223" s="543"/>
      <c r="Y223" s="543"/>
      <c r="Z223" s="543"/>
      <c r="AA223" s="175"/>
      <c r="AB223" s="110"/>
      <c r="AC223" s="110"/>
    </row>
    <row r="224" spans="1:30" s="8" customFormat="1" ht="16.5" customHeight="1" x14ac:dyDescent="0.2">
      <c r="A224" s="168" t="s">
        <v>70</v>
      </c>
      <c r="B224" s="331" t="s">
        <v>92</v>
      </c>
      <c r="C224" s="132"/>
      <c r="D224" s="210">
        <v>100</v>
      </c>
      <c r="E224" s="132"/>
      <c r="F224" s="132"/>
      <c r="G224" s="132"/>
      <c r="H224" s="210">
        <v>100</v>
      </c>
      <c r="I224" s="133"/>
      <c r="J224" s="401"/>
      <c r="K224" s="133"/>
      <c r="L224" s="203">
        <v>100</v>
      </c>
      <c r="M224" s="133"/>
      <c r="N224" s="203">
        <v>100</v>
      </c>
      <c r="O224" s="133"/>
      <c r="P224" s="133"/>
      <c r="Q224" s="211">
        <v>5</v>
      </c>
      <c r="R224" s="502"/>
      <c r="S224" s="136">
        <f t="shared" ref="S224:S227" si="36">SUM(C224:R224)</f>
        <v>405</v>
      </c>
      <c r="T224" s="212"/>
      <c r="U224" s="137"/>
      <c r="V224" s="138">
        <f t="shared" si="35"/>
        <v>405</v>
      </c>
      <c r="X224" s="110"/>
      <c r="Y224" s="110"/>
      <c r="Z224" s="110"/>
      <c r="AA224" s="110"/>
      <c r="AB224" s="110"/>
      <c r="AC224" s="110"/>
    </row>
    <row r="225" spans="1:29" s="8" customFormat="1" ht="16.5" customHeight="1" x14ac:dyDescent="0.2">
      <c r="A225" s="200" t="s">
        <v>71</v>
      </c>
      <c r="B225" s="332" t="s">
        <v>92</v>
      </c>
      <c r="C225" s="213"/>
      <c r="D225" s="210">
        <v>100</v>
      </c>
      <c r="E225" s="213"/>
      <c r="F225" s="213"/>
      <c r="G225" s="213"/>
      <c r="H225" s="210">
        <v>100</v>
      </c>
      <c r="I225" s="213"/>
      <c r="J225" s="110"/>
      <c r="K225" s="213"/>
      <c r="L225" s="203">
        <v>100</v>
      </c>
      <c r="M225" s="213"/>
      <c r="N225" s="210">
        <v>100</v>
      </c>
      <c r="O225" s="213"/>
      <c r="P225" s="519">
        <v>50</v>
      </c>
      <c r="Q225" s="211">
        <v>5</v>
      </c>
      <c r="R225" s="502"/>
      <c r="S225" s="136">
        <f t="shared" si="36"/>
        <v>455</v>
      </c>
      <c r="T225" s="212"/>
      <c r="U225" s="208"/>
      <c r="V225" s="209">
        <f t="shared" si="35"/>
        <v>455</v>
      </c>
      <c r="W225" s="146"/>
      <c r="X225" s="145"/>
      <c r="Y225" s="214"/>
      <c r="Z225" s="214"/>
      <c r="AA225" s="214"/>
      <c r="AB225" s="110"/>
      <c r="AC225" s="110"/>
    </row>
    <row r="226" spans="1:29" s="8" customFormat="1" ht="16.5" customHeight="1" x14ac:dyDescent="0.2">
      <c r="A226" s="168" t="s">
        <v>72</v>
      </c>
      <c r="B226" s="331" t="s">
        <v>93</v>
      </c>
      <c r="C226" s="213"/>
      <c r="D226" s="210">
        <v>97</v>
      </c>
      <c r="E226" s="213"/>
      <c r="F226" s="132"/>
      <c r="G226" s="157">
        <v>86</v>
      </c>
      <c r="H226" s="132"/>
      <c r="I226" s="132"/>
      <c r="J226" s="132"/>
      <c r="K226" s="157">
        <v>86</v>
      </c>
      <c r="L226" s="210">
        <v>97</v>
      </c>
      <c r="M226" s="215"/>
      <c r="N226" s="215"/>
      <c r="O226" s="157">
        <v>86</v>
      </c>
      <c r="P226" s="210">
        <v>97</v>
      </c>
      <c r="Q226" s="135"/>
      <c r="R226" s="502"/>
      <c r="S226" s="136">
        <f t="shared" si="36"/>
        <v>549</v>
      </c>
      <c r="T226" s="143">
        <v>250</v>
      </c>
      <c r="U226" s="137"/>
      <c r="V226" s="138">
        <f t="shared" si="35"/>
        <v>299</v>
      </c>
      <c r="X226" s="110"/>
      <c r="Y226" s="110"/>
      <c r="Z226" s="165"/>
      <c r="AA226" s="110"/>
      <c r="AB226" s="110"/>
      <c r="AC226" s="110"/>
    </row>
    <row r="227" spans="1:29" x14ac:dyDescent="0.2">
      <c r="A227" s="216" t="s">
        <v>74</v>
      </c>
      <c r="B227" s="331" t="s">
        <v>93</v>
      </c>
      <c r="C227" s="157">
        <v>86</v>
      </c>
      <c r="D227" s="215"/>
      <c r="E227" s="157">
        <v>86</v>
      </c>
      <c r="F227" s="210">
        <v>97</v>
      </c>
      <c r="G227" s="134"/>
      <c r="H227" s="134"/>
      <c r="I227" s="157">
        <v>86</v>
      </c>
      <c r="J227" s="132"/>
      <c r="K227" s="399"/>
      <c r="M227" s="187"/>
      <c r="N227" s="187"/>
      <c r="O227" s="157">
        <v>86</v>
      </c>
      <c r="P227" s="204"/>
      <c r="Q227" s="205"/>
      <c r="R227" s="502"/>
      <c r="S227" s="136">
        <f t="shared" si="36"/>
        <v>441</v>
      </c>
      <c r="T227" s="190"/>
      <c r="U227" s="190"/>
      <c r="V227" s="138">
        <f t="shared" si="35"/>
        <v>441</v>
      </c>
    </row>
    <row r="228" spans="1:29" s="8" customFormat="1" ht="16.5" customHeight="1" x14ac:dyDescent="0.2">
      <c r="A228" s="168" t="s">
        <v>75</v>
      </c>
      <c r="B228" s="331" t="s">
        <v>92</v>
      </c>
      <c r="C228" s="215"/>
      <c r="D228" s="215"/>
      <c r="E228" s="133"/>
      <c r="F228" s="133"/>
      <c r="G228" s="134"/>
      <c r="H228" s="134"/>
      <c r="I228" s="134"/>
      <c r="J228" s="133"/>
      <c r="K228" s="133"/>
      <c r="L228" s="133"/>
      <c r="M228" s="133"/>
      <c r="N228" s="210">
        <v>100</v>
      </c>
      <c r="O228" s="133"/>
      <c r="P228" s="210">
        <v>100</v>
      </c>
      <c r="Q228" s="218">
        <v>5</v>
      </c>
      <c r="R228" s="503"/>
      <c r="S228" s="136">
        <f>SUM(C228:R228)</f>
        <v>205</v>
      </c>
      <c r="T228" s="207"/>
      <c r="U228" s="137"/>
      <c r="V228" s="138">
        <f t="shared" si="35"/>
        <v>205</v>
      </c>
      <c r="W228" s="219" t="s">
        <v>77</v>
      </c>
      <c r="X228" s="220"/>
      <c r="Y228" s="220"/>
      <c r="Z228" s="220"/>
      <c r="AA228" s="221"/>
      <c r="AB228"/>
      <c r="AC228" s="110"/>
    </row>
    <row r="229" spans="1:29" s="8" customFormat="1" ht="16.5" customHeight="1" x14ac:dyDescent="0.2">
      <c r="A229" s="222" t="s">
        <v>78</v>
      </c>
      <c r="B229" s="333" t="s">
        <v>92</v>
      </c>
      <c r="C229" s="215"/>
      <c r="D229" s="215"/>
      <c r="E229" s="223"/>
      <c r="F229" s="215"/>
      <c r="G229" s="224"/>
      <c r="H229" s="224"/>
      <c r="I229" s="225"/>
      <c r="J229" s="215"/>
      <c r="K229" s="225"/>
      <c r="L229" s="215"/>
      <c r="M229" s="215"/>
      <c r="N229" s="225"/>
      <c r="O229" s="225"/>
      <c r="P229" s="210">
        <v>100</v>
      </c>
      <c r="Q229" s="226"/>
      <c r="R229" s="504"/>
      <c r="S229" s="136">
        <f t="shared" ref="S229" si="37">SUM(C229:R229)</f>
        <v>100</v>
      </c>
      <c r="T229" s="227"/>
      <c r="U229" s="228"/>
      <c r="V229" s="163">
        <f t="shared" si="35"/>
        <v>100</v>
      </c>
      <c r="X229" s="217"/>
      <c r="Y229" s="217"/>
      <c r="Z229" s="217"/>
      <c r="AA229" s="110"/>
      <c r="AB229"/>
    </row>
    <row r="230" spans="1:29" x14ac:dyDescent="0.2">
      <c r="A230" s="216" t="s">
        <v>79</v>
      </c>
      <c r="B230" s="331" t="s">
        <v>93</v>
      </c>
      <c r="D230" s="158">
        <v>110</v>
      </c>
      <c r="E230" s="187"/>
      <c r="F230" s="210">
        <v>97</v>
      </c>
      <c r="G230" s="187"/>
      <c r="H230" s="187"/>
      <c r="I230" s="399"/>
      <c r="J230" s="210">
        <v>97</v>
      </c>
      <c r="K230" s="399"/>
      <c r="L230" s="210">
        <v>97</v>
      </c>
      <c r="M230" s="157">
        <v>86</v>
      </c>
      <c r="N230" s="210">
        <v>97</v>
      </c>
      <c r="O230" s="215"/>
      <c r="P230" s="215"/>
      <c r="Q230" s="205">
        <v>5</v>
      </c>
      <c r="R230" s="502"/>
      <c r="S230" s="136">
        <f>SUM(C230:R230)</f>
        <v>589</v>
      </c>
      <c r="T230" s="190"/>
      <c r="U230" s="190"/>
      <c r="V230" s="138">
        <f t="shared" si="35"/>
        <v>589</v>
      </c>
    </row>
    <row r="231" spans="1:29" s="8" customFormat="1" ht="16.5" customHeight="1" x14ac:dyDescent="0.2">
      <c r="A231" s="216" t="s">
        <v>200</v>
      </c>
      <c r="B231" s="331" t="s">
        <v>93</v>
      </c>
      <c r="C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05"/>
      <c r="R231" s="502"/>
      <c r="S231" s="136">
        <f t="shared" ref="S231:S233" si="38">SUM(C231:R231)</f>
        <v>0</v>
      </c>
      <c r="T231" s="127"/>
      <c r="U231" s="137"/>
      <c r="V231" s="138">
        <f>S231-T231-U231</f>
        <v>0</v>
      </c>
      <c r="W231" s="221" t="s">
        <v>203</v>
      </c>
      <c r="X231" s="508"/>
      <c r="Y231" s="508"/>
      <c r="Z231" s="508"/>
      <c r="AA231" s="221"/>
      <c r="AB231" s="221"/>
      <c r="AC231" s="221"/>
    </row>
    <row r="232" spans="1:29" x14ac:dyDescent="0.2">
      <c r="A232" s="216" t="s">
        <v>205</v>
      </c>
      <c r="B232" s="331" t="s">
        <v>93</v>
      </c>
      <c r="C232" s="187"/>
      <c r="D232" s="187"/>
      <c r="E232" s="187"/>
      <c r="F232" s="187"/>
      <c r="G232" s="187"/>
      <c r="H232" s="187"/>
      <c r="I232" s="399"/>
      <c r="J232" s="210">
        <v>97</v>
      </c>
      <c r="K232" s="399"/>
      <c r="L232" s="187"/>
      <c r="M232" s="187"/>
      <c r="N232" s="187"/>
      <c r="O232" s="187"/>
      <c r="P232" s="187"/>
      <c r="Q232" s="205"/>
      <c r="R232" s="502"/>
      <c r="S232" s="136">
        <f t="shared" si="38"/>
        <v>97</v>
      </c>
      <c r="T232" s="190"/>
      <c r="U232" s="190"/>
      <c r="V232" s="138">
        <f>S232-T232-U232</f>
        <v>97</v>
      </c>
    </row>
    <row r="233" spans="1:29" s="8" customFormat="1" ht="16.5" customHeight="1" x14ac:dyDescent="0.2">
      <c r="A233" s="168"/>
      <c r="B233" s="360"/>
      <c r="C233" s="133"/>
      <c r="D233" s="133"/>
      <c r="E233" s="133"/>
      <c r="F233" s="133"/>
      <c r="G233" s="134"/>
      <c r="H233" s="134"/>
      <c r="I233" s="133"/>
      <c r="J233" s="133"/>
      <c r="K233" s="133"/>
      <c r="L233" s="133"/>
      <c r="M233" s="133"/>
      <c r="N233" s="133"/>
      <c r="O233" s="213"/>
      <c r="P233" s="213"/>
      <c r="Q233" s="211"/>
      <c r="R233" s="502"/>
      <c r="S233" s="136">
        <f t="shared" si="38"/>
        <v>0</v>
      </c>
      <c r="T233" s="212"/>
      <c r="U233" s="137"/>
      <c r="V233" s="138"/>
      <c r="W233" s="182"/>
      <c r="X233" s="181"/>
      <c r="Z233" s="110"/>
      <c r="AA233" s="110"/>
      <c r="AB233" s="110"/>
      <c r="AC233" s="110"/>
    </row>
    <row r="234" spans="1:29" s="8" customFormat="1" ht="16.5" customHeight="1" x14ac:dyDescent="0.2">
      <c r="A234" s="229"/>
      <c r="B234" s="229"/>
      <c r="C234" s="230">
        <f>SUM(C212:C232)</f>
        <v>756</v>
      </c>
      <c r="D234" s="230">
        <f>SUM(D212:D232)</f>
        <v>782</v>
      </c>
      <c r="E234" s="230">
        <f>SUM(E212:E232)</f>
        <v>406</v>
      </c>
      <c r="F234" s="230">
        <f>SUM(F212:F232)</f>
        <v>804</v>
      </c>
      <c r="G234" s="230">
        <f>SUM(G212:G233)</f>
        <v>406</v>
      </c>
      <c r="H234" s="230">
        <f>SUM(H212:H232)</f>
        <v>810</v>
      </c>
      <c r="I234" s="230">
        <f>SUM(I212:I232)</f>
        <v>411</v>
      </c>
      <c r="J234" s="230">
        <f>SUM(J212:J232)</f>
        <v>809</v>
      </c>
      <c r="K234" s="230">
        <f>SUM(K212:K232)</f>
        <v>526</v>
      </c>
      <c r="L234" s="230">
        <f>SUM(L212:L233)</f>
        <v>1254</v>
      </c>
      <c r="M234" s="230">
        <f>SUM(M212:M232)</f>
        <v>521</v>
      </c>
      <c r="N234" s="230">
        <f>SUM(N212:N233)</f>
        <v>1252</v>
      </c>
      <c r="O234" s="230">
        <f>SUM(O212:O233)</f>
        <v>482</v>
      </c>
      <c r="P234" s="230">
        <f>SUM(P212:P233)</f>
        <v>947</v>
      </c>
      <c r="Q234" s="230">
        <f>SUM(Q212:Q232)</f>
        <v>25</v>
      </c>
      <c r="R234" s="230">
        <f>SUM(R212:R232)</f>
        <v>0</v>
      </c>
      <c r="S234" s="231">
        <f>SUM(S212:S233)</f>
        <v>10191</v>
      </c>
      <c r="T234" s="230">
        <f>SUM(T214:T233)</f>
        <v>3407</v>
      </c>
      <c r="U234" s="232">
        <f>SUM(U212:U233)</f>
        <v>0</v>
      </c>
      <c r="V234" s="233">
        <f>SUM(V212:V233)</f>
        <v>6784</v>
      </c>
    </row>
    <row r="235" spans="1:29" s="8" customFormat="1" ht="16.5" customHeight="1" x14ac:dyDescent="0.2">
      <c r="A235" s="160"/>
      <c r="B235" s="234"/>
      <c r="C235" s="235"/>
      <c r="D235" s="235">
        <f>C234+D234</f>
        <v>1538</v>
      </c>
      <c r="E235" s="235"/>
      <c r="F235" s="235">
        <f>E234+F234</f>
        <v>1210</v>
      </c>
      <c r="G235" s="235"/>
      <c r="H235" s="235">
        <f>G234+H234</f>
        <v>1216</v>
      </c>
      <c r="I235" s="235"/>
      <c r="J235" s="235">
        <f>I234+J234</f>
        <v>1220</v>
      </c>
      <c r="K235" s="235"/>
      <c r="L235" s="235">
        <f>K234+L234</f>
        <v>1780</v>
      </c>
      <c r="M235" s="235"/>
      <c r="N235" s="235">
        <f>M234+N234</f>
        <v>1773</v>
      </c>
      <c r="O235" s="235"/>
      <c r="P235" s="235">
        <f>O234+P234</f>
        <v>1429</v>
      </c>
      <c r="Q235" s="236"/>
      <c r="R235" s="497"/>
      <c r="S235" s="237" t="s">
        <v>116</v>
      </c>
      <c r="T235" s="544">
        <f>T234+U234</f>
        <v>3407</v>
      </c>
      <c r="U235" s="545"/>
      <c r="V235" s="391" t="s">
        <v>149</v>
      </c>
    </row>
    <row r="236" spans="1:29" s="8" customFormat="1" ht="16.5" customHeight="1" x14ac:dyDescent="0.2">
      <c r="A236" s="238" t="s">
        <v>80</v>
      </c>
      <c r="B236" s="238"/>
      <c r="C236" s="239"/>
      <c r="D236" s="239"/>
      <c r="E236" s="239"/>
      <c r="F236" s="239"/>
      <c r="G236" s="239"/>
      <c r="H236" s="239"/>
      <c r="I236" s="239"/>
      <c r="J236" s="239"/>
      <c r="K236" s="239"/>
      <c r="L236" s="239"/>
      <c r="M236" s="239"/>
      <c r="N236" s="239"/>
      <c r="O236" s="239" t="s">
        <v>81</v>
      </c>
      <c r="P236" s="240">
        <f>SUM(C223:R232)</f>
        <v>4046</v>
      </c>
      <c r="Q236" s="239"/>
      <c r="U236" s="119"/>
    </row>
    <row r="237" spans="1:29" s="8" customFormat="1" ht="16.5" customHeight="1" x14ac:dyDescent="0.2">
      <c r="A237" s="241" t="s">
        <v>82</v>
      </c>
      <c r="B237" s="241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 t="s">
        <v>83</v>
      </c>
      <c r="P237" s="243">
        <f>SUM(C214:R220)</f>
        <v>5775</v>
      </c>
      <c r="Q237" s="243">
        <f>P236+P237</f>
        <v>9821</v>
      </c>
      <c r="U237" s="119"/>
    </row>
    <row r="238" spans="1:29" s="8" customFormat="1" ht="16.5" customHeight="1" x14ac:dyDescent="0.2">
      <c r="A238" s="244"/>
      <c r="B238" s="244"/>
      <c r="R238" s="245" t="s">
        <v>84</v>
      </c>
      <c r="S238" s="246">
        <f>C234+E234+G234+I234+K234+M234+O234</f>
        <v>3508</v>
      </c>
      <c r="T238" s="119"/>
    </row>
    <row r="239" spans="1:29" s="8" customFormat="1" x14ac:dyDescent="0.2">
      <c r="A239" s="244"/>
      <c r="B239" s="244"/>
      <c r="D239" s="110"/>
      <c r="E239" s="546" t="s">
        <v>204</v>
      </c>
      <c r="F239" s="546"/>
      <c r="G239" s="546"/>
      <c r="H239" s="546"/>
      <c r="I239" s="546"/>
      <c r="J239" s="546"/>
      <c r="K239" s="546"/>
      <c r="L239" s="546"/>
      <c r="R239" s="247" t="s">
        <v>85</v>
      </c>
      <c r="S239" s="248">
        <f>D234+F234+H234+J234+L234+N234+P234+Q234</f>
        <v>6683</v>
      </c>
      <c r="T239" s="119"/>
    </row>
    <row r="240" spans="1:29" x14ac:dyDescent="0.2">
      <c r="E240" s="389"/>
      <c r="F240" s="389"/>
      <c r="G240" s="389"/>
      <c r="H240" s="389"/>
      <c r="I240" s="389"/>
      <c r="J240" s="389"/>
      <c r="K240" s="389"/>
      <c r="L240" s="389"/>
      <c r="M240" s="118"/>
    </row>
    <row r="242" spans="1:30" x14ac:dyDescent="0.2">
      <c r="A242" s="551" t="s">
        <v>46</v>
      </c>
      <c r="B242" s="551"/>
      <c r="C242" s="552"/>
      <c r="D242" s="552"/>
      <c r="E242" s="118"/>
    </row>
    <row r="243" spans="1:30" s="8" customFormat="1" ht="16.5" customHeight="1" x14ac:dyDescent="0.2">
      <c r="A243" s="553" t="s">
        <v>86</v>
      </c>
      <c r="B243" s="554"/>
      <c r="C243" s="547" t="s">
        <v>34</v>
      </c>
      <c r="D243" s="547"/>
      <c r="E243" s="547" t="s">
        <v>35</v>
      </c>
      <c r="F243" s="547"/>
      <c r="G243" s="547" t="s">
        <v>36</v>
      </c>
      <c r="H243" s="547"/>
      <c r="I243" s="547" t="s">
        <v>37</v>
      </c>
      <c r="J243" s="547"/>
      <c r="K243" s="547" t="s">
        <v>38</v>
      </c>
      <c r="L243" s="547"/>
      <c r="M243" s="547" t="s">
        <v>40</v>
      </c>
      <c r="N243" s="547"/>
      <c r="O243" s="547" t="s">
        <v>41</v>
      </c>
      <c r="P243" s="547"/>
      <c r="T243" s="119"/>
    </row>
    <row r="244" spans="1:30" s="8" customFormat="1" ht="16.5" customHeight="1" x14ac:dyDescent="0.2">
      <c r="A244" s="120"/>
      <c r="B244" s="121" t="s">
        <v>47</v>
      </c>
      <c r="C244" s="548">
        <v>46069</v>
      </c>
      <c r="D244" s="549"/>
      <c r="E244" s="548">
        <v>46070</v>
      </c>
      <c r="F244" s="549"/>
      <c r="G244" s="548">
        <v>46071</v>
      </c>
      <c r="H244" s="549"/>
      <c r="I244" s="548">
        <v>46072</v>
      </c>
      <c r="J244" s="549"/>
      <c r="K244" s="548">
        <v>46073</v>
      </c>
      <c r="L244" s="549"/>
      <c r="M244" s="548">
        <v>46074</v>
      </c>
      <c r="N244" s="549"/>
      <c r="O244" s="548">
        <v>46075</v>
      </c>
      <c r="P244" s="549"/>
      <c r="Q244" s="126"/>
      <c r="R244" s="126"/>
      <c r="S244" s="123"/>
      <c r="T244" s="124"/>
      <c r="V244" s="119"/>
    </row>
    <row r="245" spans="1:30" s="8" customFormat="1" ht="16.5" customHeight="1" x14ac:dyDescent="0.2">
      <c r="A245" s="120"/>
      <c r="B245" s="120" t="s">
        <v>48</v>
      </c>
      <c r="C245" s="125" t="s">
        <v>4</v>
      </c>
      <c r="D245" s="125" t="s">
        <v>5</v>
      </c>
      <c r="E245" s="125" t="s">
        <v>4</v>
      </c>
      <c r="F245" s="125" t="s">
        <v>5</v>
      </c>
      <c r="G245" s="125" t="s">
        <v>4</v>
      </c>
      <c r="H245" s="125" t="s">
        <v>5</v>
      </c>
      <c r="I245" s="125" t="s">
        <v>4</v>
      </c>
      <c r="J245" s="125" t="s">
        <v>5</v>
      </c>
      <c r="K245" s="125" t="s">
        <v>4</v>
      </c>
      <c r="L245" s="125" t="s">
        <v>5</v>
      </c>
      <c r="M245" s="125" t="s">
        <v>4</v>
      </c>
      <c r="N245" s="125" t="s">
        <v>5</v>
      </c>
      <c r="O245" s="125" t="s">
        <v>4</v>
      </c>
      <c r="P245" s="125" t="s">
        <v>5</v>
      </c>
      <c r="Q245" s="126" t="s">
        <v>49</v>
      </c>
      <c r="R245" s="126" t="s">
        <v>192</v>
      </c>
      <c r="S245" s="123" t="s">
        <v>50</v>
      </c>
      <c r="T245" s="127" t="s">
        <v>51</v>
      </c>
      <c r="U245" s="128" t="s">
        <v>52</v>
      </c>
      <c r="V245" s="505" t="s">
        <v>53</v>
      </c>
    </row>
    <row r="246" spans="1:30" s="8" customFormat="1" ht="16.5" customHeight="1" x14ac:dyDescent="0.2">
      <c r="A246" s="130" t="s">
        <v>54</v>
      </c>
      <c r="B246" s="131">
        <v>250</v>
      </c>
      <c r="C246" s="135">
        <v>250</v>
      </c>
      <c r="D246" s="133"/>
      <c r="E246" s="133"/>
      <c r="F246" s="133"/>
      <c r="G246" s="134"/>
      <c r="H246" s="134"/>
      <c r="I246" s="133"/>
      <c r="J246" s="133"/>
      <c r="K246" s="133"/>
      <c r="L246" s="133"/>
      <c r="M246" s="133"/>
      <c r="N246" s="133"/>
      <c r="O246" s="133"/>
      <c r="P246" s="133"/>
      <c r="Q246" s="135"/>
      <c r="R246" s="498"/>
      <c r="S246" s="136">
        <f>SUM(C246:R246)</f>
        <v>250</v>
      </c>
      <c r="T246" s="123"/>
      <c r="U246" s="137"/>
      <c r="V246" s="138">
        <f t="shared" ref="V246:V247" si="39">S246-T246-U246</f>
        <v>250</v>
      </c>
      <c r="W246" s="139"/>
      <c r="X246" s="110"/>
      <c r="Y246" s="110"/>
      <c r="Z246" s="110"/>
      <c r="AA246" s="110"/>
      <c r="AB246" s="110"/>
      <c r="AC246" s="110"/>
    </row>
    <row r="247" spans="1:30" s="8" customFormat="1" ht="16.5" customHeight="1" x14ac:dyDescent="0.2">
      <c r="A247" s="130" t="s">
        <v>66</v>
      </c>
      <c r="B247" s="331" t="s">
        <v>94</v>
      </c>
      <c r="C247" s="132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5"/>
      <c r="R247" s="498"/>
      <c r="S247" s="136">
        <f t="shared" ref="S247" si="40">SUM(C247:R247)</f>
        <v>0</v>
      </c>
      <c r="T247" s="123"/>
      <c r="U247" s="137"/>
      <c r="V247" s="138">
        <f t="shared" si="39"/>
        <v>0</v>
      </c>
      <c r="W247" s="139"/>
      <c r="X247" s="110"/>
      <c r="Y247" s="110"/>
      <c r="Z247" s="110"/>
      <c r="AA247" s="110"/>
      <c r="AB247" s="110"/>
      <c r="AC247" s="110"/>
    </row>
    <row r="248" spans="1:30" s="147" customFormat="1" ht="16.5" customHeight="1" x14ac:dyDescent="0.2">
      <c r="A248" s="130" t="s">
        <v>55</v>
      </c>
      <c r="B248" s="330" t="s">
        <v>87</v>
      </c>
      <c r="C248" s="140">
        <v>120</v>
      </c>
      <c r="D248" s="141">
        <v>130</v>
      </c>
      <c r="E248" s="133"/>
      <c r="F248" s="133"/>
      <c r="G248" s="142"/>
      <c r="H248" s="142"/>
      <c r="I248" s="140">
        <v>120</v>
      </c>
      <c r="J248" s="141">
        <v>130</v>
      </c>
      <c r="K248" s="140">
        <v>120</v>
      </c>
      <c r="L248" s="141">
        <v>130</v>
      </c>
      <c r="M248" s="140">
        <v>120</v>
      </c>
      <c r="N248" s="141">
        <v>130</v>
      </c>
      <c r="O248" s="140">
        <v>120</v>
      </c>
      <c r="P248" s="141">
        <v>130</v>
      </c>
      <c r="Q248" s="135"/>
      <c r="R248" s="498"/>
      <c r="S248" s="136">
        <f>SUM(C248:R248)</f>
        <v>1250</v>
      </c>
      <c r="T248" s="143">
        <v>962</v>
      </c>
      <c r="U248" s="137"/>
      <c r="V248" s="138">
        <f>S248-T248-U248</f>
        <v>288</v>
      </c>
      <c r="W248" s="550"/>
      <c r="X248" s="541"/>
      <c r="Y248" s="541"/>
      <c r="Z248" s="541"/>
      <c r="AA248" s="144"/>
      <c r="AB248" s="145"/>
      <c r="AC248" s="146"/>
    </row>
    <row r="249" spans="1:30" s="147" customFormat="1" ht="16.5" customHeight="1" x14ac:dyDescent="0.2">
      <c r="A249" s="130" t="s">
        <v>56</v>
      </c>
      <c r="B249" s="330" t="s">
        <v>88</v>
      </c>
      <c r="C249" s="148">
        <v>115</v>
      </c>
      <c r="D249" s="141">
        <v>125</v>
      </c>
      <c r="E249" s="148">
        <v>115</v>
      </c>
      <c r="F249" s="141">
        <v>125</v>
      </c>
      <c r="G249" s="148">
        <v>115</v>
      </c>
      <c r="H249" s="141">
        <v>125</v>
      </c>
      <c r="I249" s="133"/>
      <c r="J249" s="395"/>
      <c r="K249" s="148">
        <v>115</v>
      </c>
      <c r="L249" s="141">
        <v>125</v>
      </c>
      <c r="M249" s="148">
        <v>115</v>
      </c>
      <c r="N249" s="141">
        <v>125</v>
      </c>
      <c r="O249" s="149"/>
      <c r="P249" s="150"/>
      <c r="Q249" s="151"/>
      <c r="R249" s="498"/>
      <c r="S249" s="136">
        <f t="shared" ref="S249:S256" si="41">SUM(C249:R249)</f>
        <v>1200</v>
      </c>
      <c r="T249" s="152"/>
      <c r="U249" s="137"/>
      <c r="V249" s="138">
        <f t="shared" ref="V249:V253" si="42">S249-T249-U249</f>
        <v>1200</v>
      </c>
      <c r="W249" s="153" t="s">
        <v>57</v>
      </c>
      <c r="X249" s="153"/>
      <c r="Y249" s="154">
        <f>V249-463</f>
        <v>737</v>
      </c>
      <c r="Z249" s="155"/>
      <c r="AA249" s="144"/>
      <c r="AB249" s="145"/>
      <c r="AC249" s="145"/>
    </row>
    <row r="250" spans="1:30" s="8" customFormat="1" ht="16.5" customHeight="1" x14ac:dyDescent="0.2">
      <c r="A250" s="156" t="s">
        <v>58</v>
      </c>
      <c r="B250" s="330" t="s">
        <v>64</v>
      </c>
      <c r="C250" s="157">
        <v>95</v>
      </c>
      <c r="D250" s="158">
        <v>120</v>
      </c>
      <c r="E250" s="159">
        <v>95</v>
      </c>
      <c r="F250" s="158">
        <v>120</v>
      </c>
      <c r="G250" s="159">
        <v>95</v>
      </c>
      <c r="H250" s="158">
        <v>120</v>
      </c>
      <c r="I250" s="159">
        <v>95</v>
      </c>
      <c r="J250" s="158">
        <v>120</v>
      </c>
      <c r="K250" s="159">
        <v>95</v>
      </c>
      <c r="L250" s="158">
        <v>120</v>
      </c>
      <c r="M250" s="160"/>
      <c r="N250" s="160"/>
      <c r="O250" s="160"/>
      <c r="P250" s="160"/>
      <c r="Q250" s="161"/>
      <c r="R250" s="498"/>
      <c r="S250" s="136">
        <f t="shared" si="41"/>
        <v>1075</v>
      </c>
      <c r="T250" s="143">
        <v>1145</v>
      </c>
      <c r="U250" s="162"/>
      <c r="V250" s="163">
        <f t="shared" si="42"/>
        <v>-70</v>
      </c>
      <c r="W250" s="536" t="s">
        <v>60</v>
      </c>
      <c r="X250" s="537"/>
      <c r="Y250" s="537"/>
      <c r="Z250" s="164"/>
      <c r="AA250" s="110"/>
      <c r="AB250" s="110"/>
      <c r="AC250" s="165"/>
      <c r="AD250" s="110"/>
    </row>
    <row r="251" spans="1:30" s="8" customFormat="1" ht="16.5" customHeight="1" x14ac:dyDescent="0.2">
      <c r="A251" s="156" t="s">
        <v>61</v>
      </c>
      <c r="B251" s="330" t="s">
        <v>59</v>
      </c>
      <c r="C251" s="166">
        <v>90</v>
      </c>
      <c r="D251" s="133"/>
      <c r="E251" s="133"/>
      <c r="F251" s="158">
        <v>115</v>
      </c>
      <c r="G251" s="134"/>
      <c r="H251" s="158">
        <v>115</v>
      </c>
      <c r="I251" s="133"/>
      <c r="J251" s="158">
        <v>115</v>
      </c>
      <c r="K251" s="396"/>
      <c r="L251" s="158">
        <v>115</v>
      </c>
      <c r="M251" s="166">
        <v>90</v>
      </c>
      <c r="N251" s="158">
        <v>115</v>
      </c>
      <c r="O251" s="166">
        <v>90</v>
      </c>
      <c r="P251" s="141">
        <v>115</v>
      </c>
      <c r="Q251" s="135"/>
      <c r="R251" s="498"/>
      <c r="S251" s="136">
        <f t="shared" si="41"/>
        <v>960</v>
      </c>
      <c r="T251" s="127"/>
      <c r="U251" s="167"/>
      <c r="V251" s="138">
        <f t="shared" si="42"/>
        <v>960</v>
      </c>
      <c r="X251" s="110"/>
      <c r="Y251" s="110"/>
      <c r="Z251" s="110"/>
      <c r="AA251" s="110"/>
      <c r="AB251" s="110"/>
      <c r="AC251" s="110"/>
    </row>
    <row r="252" spans="1:30" s="8" customFormat="1" ht="16.5" customHeight="1" x14ac:dyDescent="0.2">
      <c r="A252" s="168" t="s">
        <v>63</v>
      </c>
      <c r="B252" s="331" t="s">
        <v>89</v>
      </c>
      <c r="C252" s="169"/>
      <c r="D252" s="160"/>
      <c r="E252" s="132"/>
      <c r="G252" s="134"/>
      <c r="H252" s="170">
        <v>120</v>
      </c>
      <c r="I252" s="395"/>
      <c r="J252" s="110"/>
      <c r="K252" s="397"/>
      <c r="L252" s="171">
        <v>120</v>
      </c>
      <c r="M252" s="172"/>
      <c r="N252" s="158">
        <v>120</v>
      </c>
      <c r="O252" s="166">
        <v>100</v>
      </c>
      <c r="P252" s="141">
        <v>120</v>
      </c>
      <c r="Q252" s="135"/>
      <c r="R252" s="498"/>
      <c r="S252" s="136">
        <f t="shared" si="41"/>
        <v>580</v>
      </c>
      <c r="T252" s="143">
        <v>250</v>
      </c>
      <c r="U252" s="137"/>
      <c r="V252" s="138">
        <f t="shared" si="42"/>
        <v>330</v>
      </c>
      <c r="W252" s="538" t="s">
        <v>221</v>
      </c>
      <c r="X252" s="539"/>
      <c r="Y252" s="539"/>
      <c r="Z252" s="539"/>
      <c r="AA252" s="518">
        <f>V252-300</f>
        <v>30</v>
      </c>
      <c r="AB252" s="522" t="s">
        <v>161</v>
      </c>
      <c r="AC252" s="175"/>
      <c r="AD252" s="165"/>
    </row>
    <row r="253" spans="1:30" s="8" customFormat="1" ht="16.5" customHeight="1" x14ac:dyDescent="0.2">
      <c r="A253" s="156" t="s">
        <v>65</v>
      </c>
      <c r="B253" s="131" t="s">
        <v>62</v>
      </c>
      <c r="C253" s="176"/>
      <c r="D253" s="133"/>
      <c r="E253" s="133"/>
      <c r="F253" s="133"/>
      <c r="G253" s="134"/>
      <c r="H253" s="134"/>
      <c r="I253" s="398"/>
      <c r="J253" s="396"/>
      <c r="K253" s="133"/>
      <c r="L253" s="158">
        <v>115</v>
      </c>
      <c r="M253" s="169"/>
      <c r="N253" s="158">
        <v>115</v>
      </c>
      <c r="O253" s="169"/>
      <c r="P253" s="158">
        <v>115</v>
      </c>
      <c r="Q253" s="177"/>
      <c r="R253" s="499"/>
      <c r="S253" s="136">
        <f t="shared" si="41"/>
        <v>345</v>
      </c>
      <c r="T253" s="178"/>
      <c r="U253" s="137"/>
      <c r="V253" s="138">
        <f t="shared" si="42"/>
        <v>345</v>
      </c>
      <c r="W253" s="110"/>
      <c r="X253" s="110"/>
      <c r="Y253" s="165"/>
      <c r="Z253" s="110"/>
      <c r="AA253" s="110"/>
      <c r="AB253" s="110"/>
      <c r="AC253" s="110"/>
    </row>
    <row r="254" spans="1:30" s="8" customFormat="1" ht="16.5" customHeight="1" x14ac:dyDescent="0.2">
      <c r="A254" s="168" t="s">
        <v>68</v>
      </c>
      <c r="B254" s="331" t="s">
        <v>90</v>
      </c>
      <c r="C254" s="132"/>
      <c r="D254" s="132"/>
      <c r="E254" s="132"/>
      <c r="F254" s="158">
        <v>120</v>
      </c>
      <c r="G254" s="132"/>
      <c r="H254" s="132"/>
      <c r="I254" s="132"/>
      <c r="J254" s="158">
        <v>120</v>
      </c>
      <c r="K254" s="132"/>
      <c r="L254" s="132"/>
      <c r="M254" s="132"/>
      <c r="N254" s="158">
        <v>120</v>
      </c>
      <c r="O254" s="132"/>
      <c r="P254" s="158">
        <v>120</v>
      </c>
      <c r="Q254" s="179"/>
      <c r="R254" s="500"/>
      <c r="S254" s="136">
        <f t="shared" si="41"/>
        <v>480</v>
      </c>
      <c r="T254" s="119"/>
      <c r="U254" s="137"/>
      <c r="V254" s="138">
        <f>S254-T254-U254</f>
        <v>480</v>
      </c>
      <c r="W254" s="180"/>
      <c r="X254" s="181"/>
      <c r="Y254" s="182"/>
      <c r="Z254" s="181"/>
      <c r="AA254" s="183"/>
      <c r="AB254" s="110"/>
      <c r="AC254" s="110"/>
    </row>
    <row r="255" spans="1:30" x14ac:dyDescent="0.2">
      <c r="A255" s="184" t="s">
        <v>67</v>
      </c>
      <c r="B255" s="185">
        <v>120</v>
      </c>
      <c r="C255" s="186"/>
      <c r="D255" s="186"/>
      <c r="E255" s="186"/>
      <c r="F255" s="186"/>
      <c r="G255" s="186"/>
      <c r="H255" s="187"/>
      <c r="I255" s="399"/>
      <c r="J255" s="399"/>
      <c r="K255" s="399"/>
      <c r="L255" s="399"/>
      <c r="M255" s="187"/>
      <c r="N255" s="186"/>
      <c r="O255" s="188"/>
      <c r="P255" s="189"/>
      <c r="Q255" s="135"/>
      <c r="R255" s="498"/>
      <c r="S255" s="136">
        <f t="shared" si="41"/>
        <v>0</v>
      </c>
      <c r="T255" s="190"/>
      <c r="U255" s="190"/>
      <c r="V255" s="138">
        <f>S255-T255-U255</f>
        <v>0</v>
      </c>
      <c r="Y255" s="540"/>
      <c r="Z255" s="540"/>
      <c r="AA255" s="540"/>
      <c r="AB255" s="540"/>
      <c r="AC255" s="118"/>
      <c r="AD255" s="118"/>
    </row>
    <row r="256" spans="1:30" s="8" customFormat="1" ht="16.5" customHeight="1" thickBot="1" x14ac:dyDescent="0.25">
      <c r="A256" s="191"/>
      <c r="B256" s="192"/>
      <c r="C256" s="193"/>
      <c r="D256" s="194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6"/>
      <c r="R256" s="501"/>
      <c r="S256" s="136">
        <f t="shared" si="41"/>
        <v>0</v>
      </c>
      <c r="T256" s="198"/>
      <c r="U256" s="193"/>
      <c r="V256" s="199">
        <f t="shared" ref="V256:V264" si="43">S256-T256-U256</f>
        <v>0</v>
      </c>
      <c r="W256" s="110"/>
      <c r="X256" s="541"/>
      <c r="Y256" s="541"/>
      <c r="Z256" s="110"/>
      <c r="AA256" s="110"/>
      <c r="AB256" s="110"/>
      <c r="AC256" s="110"/>
    </row>
    <row r="257" spans="1:29" s="8" customFormat="1" ht="16.5" customHeight="1" x14ac:dyDescent="0.2">
      <c r="A257" s="200" t="s">
        <v>69</v>
      </c>
      <c r="B257" s="332" t="s">
        <v>91</v>
      </c>
      <c r="C257" s="202"/>
      <c r="D257" s="203">
        <v>130</v>
      </c>
      <c r="E257" s="157">
        <v>110</v>
      </c>
      <c r="F257" s="203">
        <v>130</v>
      </c>
      <c r="G257" s="132"/>
      <c r="H257" s="203">
        <v>130</v>
      </c>
      <c r="I257" s="157">
        <v>110</v>
      </c>
      <c r="J257" s="203">
        <v>130</v>
      </c>
      <c r="K257" s="157">
        <v>110</v>
      </c>
      <c r="L257" s="203">
        <v>130</v>
      </c>
      <c r="M257" s="157">
        <v>110</v>
      </c>
      <c r="N257" s="203">
        <v>130</v>
      </c>
      <c r="O257" s="204"/>
      <c r="P257" s="204"/>
      <c r="Q257" s="205"/>
      <c r="R257" s="502"/>
      <c r="S257" s="136">
        <f>SUM(C257:R257)</f>
        <v>1220</v>
      </c>
      <c r="T257" s="207">
        <v>800</v>
      </c>
      <c r="U257" s="208"/>
      <c r="V257" s="209">
        <f t="shared" si="43"/>
        <v>420</v>
      </c>
      <c r="W257" s="542"/>
      <c r="X257" s="543"/>
      <c r="Y257" s="543"/>
      <c r="Z257" s="543"/>
      <c r="AA257" s="175"/>
      <c r="AB257" s="110"/>
      <c r="AC257" s="110"/>
    </row>
    <row r="258" spans="1:29" s="8" customFormat="1" ht="16.5" customHeight="1" x14ac:dyDescent="0.2">
      <c r="A258" s="168" t="s">
        <v>70</v>
      </c>
      <c r="B258" s="331" t="s">
        <v>92</v>
      </c>
      <c r="C258" s="132"/>
      <c r="D258" s="210">
        <v>100</v>
      </c>
      <c r="E258" s="132"/>
      <c r="F258" s="132"/>
      <c r="G258" s="132"/>
      <c r="H258" s="210">
        <v>100</v>
      </c>
      <c r="I258" s="133"/>
      <c r="J258" s="401"/>
      <c r="K258" s="133"/>
      <c r="L258" s="203">
        <v>100</v>
      </c>
      <c r="M258" s="133"/>
      <c r="N258" s="203">
        <v>89</v>
      </c>
      <c r="O258" s="133"/>
      <c r="P258" s="133"/>
      <c r="Q258" s="211"/>
      <c r="R258" s="502"/>
      <c r="S258" s="136">
        <f t="shared" ref="S258:S261" si="44">SUM(C258:R258)</f>
        <v>389</v>
      </c>
      <c r="T258" s="212"/>
      <c r="U258" s="137"/>
      <c r="V258" s="138">
        <f t="shared" si="43"/>
        <v>389</v>
      </c>
      <c r="X258" s="110"/>
      <c r="Y258" s="110"/>
      <c r="Z258" s="110"/>
      <c r="AA258" s="110"/>
      <c r="AB258" s="110"/>
      <c r="AC258" s="110"/>
    </row>
    <row r="259" spans="1:29" s="8" customFormat="1" ht="16.5" customHeight="1" x14ac:dyDescent="0.2">
      <c r="A259" s="200" t="s">
        <v>71</v>
      </c>
      <c r="B259" s="332" t="s">
        <v>92</v>
      </c>
      <c r="C259" s="213"/>
      <c r="D259" s="210">
        <v>100</v>
      </c>
      <c r="E259" s="213"/>
      <c r="F259" s="213"/>
      <c r="G259" s="213"/>
      <c r="H259" s="210">
        <v>100</v>
      </c>
      <c r="I259" s="213"/>
      <c r="J259" s="110"/>
      <c r="K259" s="213"/>
      <c r="L259" s="203">
        <v>100</v>
      </c>
      <c r="M259" s="213"/>
      <c r="N259" s="210">
        <v>100</v>
      </c>
      <c r="O259" s="213"/>
      <c r="P259" s="213"/>
      <c r="Q259" s="211"/>
      <c r="R259" s="502"/>
      <c r="S259" s="136">
        <f t="shared" si="44"/>
        <v>400</v>
      </c>
      <c r="T259" s="212"/>
      <c r="U259" s="208"/>
      <c r="V259" s="209">
        <f t="shared" si="43"/>
        <v>400</v>
      </c>
      <c r="W259" s="146"/>
      <c r="X259" s="145"/>
      <c r="Y259" s="214"/>
      <c r="Z259" s="214"/>
      <c r="AA259" s="214"/>
      <c r="AB259" s="110"/>
      <c r="AC259" s="110"/>
    </row>
    <row r="260" spans="1:29" s="8" customFormat="1" ht="16.5" customHeight="1" x14ac:dyDescent="0.2">
      <c r="A260" s="168" t="s">
        <v>72</v>
      </c>
      <c r="B260" s="331" t="s">
        <v>93</v>
      </c>
      <c r="C260" s="213"/>
      <c r="D260" s="213"/>
      <c r="E260" s="213"/>
      <c r="F260" s="132"/>
      <c r="G260" s="157">
        <v>86</v>
      </c>
      <c r="H260" s="132"/>
      <c r="I260" s="132"/>
      <c r="J260" s="132"/>
      <c r="K260" s="157">
        <v>86</v>
      </c>
      <c r="L260" s="210">
        <v>97</v>
      </c>
      <c r="M260" s="215"/>
      <c r="N260" s="215"/>
      <c r="O260" s="157">
        <v>86</v>
      </c>
      <c r="P260" s="210">
        <v>97</v>
      </c>
      <c r="Q260" s="135"/>
      <c r="R260" s="502"/>
      <c r="S260" s="136">
        <f t="shared" si="44"/>
        <v>452</v>
      </c>
      <c r="T260" s="143">
        <v>250</v>
      </c>
      <c r="U260" s="137"/>
      <c r="V260" s="138">
        <f t="shared" si="43"/>
        <v>202</v>
      </c>
      <c r="X260" s="110"/>
      <c r="Y260" s="110"/>
      <c r="Z260" s="165"/>
      <c r="AA260" s="110"/>
      <c r="AB260" s="110"/>
      <c r="AC260" s="110"/>
    </row>
    <row r="261" spans="1:29" x14ac:dyDescent="0.2">
      <c r="A261" s="216" t="s">
        <v>74</v>
      </c>
      <c r="B261" s="331" t="s">
        <v>93</v>
      </c>
      <c r="C261" s="157">
        <v>86</v>
      </c>
      <c r="D261" s="215"/>
      <c r="E261" s="157">
        <v>86</v>
      </c>
      <c r="F261" s="210">
        <v>97</v>
      </c>
      <c r="G261" s="157">
        <v>86</v>
      </c>
      <c r="H261" s="134"/>
      <c r="I261" s="157">
        <v>86</v>
      </c>
      <c r="J261" s="210">
        <v>97</v>
      </c>
      <c r="K261" s="399"/>
      <c r="M261" s="187"/>
      <c r="N261" s="187"/>
      <c r="O261" s="157">
        <v>86</v>
      </c>
      <c r="P261" s="204"/>
      <c r="Q261" s="205"/>
      <c r="R261" s="502"/>
      <c r="S261" s="136">
        <f t="shared" si="44"/>
        <v>624</v>
      </c>
      <c r="T261" s="190"/>
      <c r="U261" s="190"/>
      <c r="V261" s="138">
        <f t="shared" si="43"/>
        <v>624</v>
      </c>
    </row>
    <row r="262" spans="1:29" s="8" customFormat="1" ht="16.5" customHeight="1" x14ac:dyDescent="0.2">
      <c r="A262" s="168" t="s">
        <v>75</v>
      </c>
      <c r="B262" s="331" t="s">
        <v>92</v>
      </c>
      <c r="C262" s="215"/>
      <c r="D262" s="215"/>
      <c r="E262" s="133"/>
      <c r="F262" s="133"/>
      <c r="G262" s="134"/>
      <c r="H262" s="134"/>
      <c r="I262" s="134"/>
      <c r="J262" s="133"/>
      <c r="K262" s="133"/>
      <c r="L262" s="133"/>
      <c r="M262" s="133"/>
      <c r="N262" s="133"/>
      <c r="O262" s="133"/>
      <c r="P262" s="210">
        <v>100</v>
      </c>
      <c r="Q262" s="218"/>
      <c r="R262" s="503"/>
      <c r="S262" s="136">
        <f>SUM(C262:R262)</f>
        <v>100</v>
      </c>
      <c r="T262" s="207"/>
      <c r="U262" s="137"/>
      <c r="V262" s="138">
        <f t="shared" si="43"/>
        <v>100</v>
      </c>
      <c r="W262" s="219" t="s">
        <v>77</v>
      </c>
      <c r="X262" s="220"/>
      <c r="Y262" s="220"/>
      <c r="Z262" s="220"/>
      <c r="AA262" s="221"/>
      <c r="AB262"/>
      <c r="AC262" s="110"/>
    </row>
    <row r="263" spans="1:29" s="8" customFormat="1" ht="16.5" customHeight="1" x14ac:dyDescent="0.2">
      <c r="A263" s="222" t="s">
        <v>78</v>
      </c>
      <c r="B263" s="333" t="s">
        <v>92</v>
      </c>
      <c r="C263" s="215"/>
      <c r="D263" s="215"/>
      <c r="E263" s="223"/>
      <c r="F263" s="215"/>
      <c r="G263" s="224"/>
      <c r="H263" s="224"/>
      <c r="I263" s="225"/>
      <c r="J263" s="215"/>
      <c r="K263" s="225"/>
      <c r="L263" s="215"/>
      <c r="M263" s="215"/>
      <c r="N263" s="225"/>
      <c r="O263" s="225"/>
      <c r="P263" s="210">
        <v>100</v>
      </c>
      <c r="Q263" s="226"/>
      <c r="R263" s="504"/>
      <c r="S263" s="136">
        <f t="shared" ref="S263" si="45">SUM(C263:R263)</f>
        <v>100</v>
      </c>
      <c r="T263" s="227"/>
      <c r="U263" s="228"/>
      <c r="V263" s="163">
        <f t="shared" si="43"/>
        <v>100</v>
      </c>
      <c r="X263" s="217"/>
      <c r="Y263" s="217"/>
      <c r="Z263" s="217"/>
      <c r="AA263" s="110"/>
      <c r="AB263"/>
    </row>
    <row r="264" spans="1:29" x14ac:dyDescent="0.2">
      <c r="A264" s="216" t="s">
        <v>79</v>
      </c>
      <c r="B264" s="331" t="s">
        <v>93</v>
      </c>
      <c r="D264" s="158">
        <v>110</v>
      </c>
      <c r="E264" s="187"/>
      <c r="F264" s="210">
        <v>97</v>
      </c>
      <c r="G264" s="187"/>
      <c r="H264" s="187"/>
      <c r="I264" s="399"/>
      <c r="J264" s="210">
        <v>97</v>
      </c>
      <c r="K264" s="399"/>
      <c r="L264" s="210">
        <v>97</v>
      </c>
      <c r="M264" s="157">
        <v>86</v>
      </c>
      <c r="N264" s="210">
        <v>97</v>
      </c>
      <c r="O264" s="215"/>
      <c r="P264" s="215"/>
      <c r="Q264" s="205"/>
      <c r="R264" s="502"/>
      <c r="S264" s="136">
        <f>SUM(C264:R264)</f>
        <v>584</v>
      </c>
      <c r="T264" s="190"/>
      <c r="U264" s="190"/>
      <c r="V264" s="138">
        <f t="shared" si="43"/>
        <v>584</v>
      </c>
    </row>
    <row r="265" spans="1:29" s="8" customFormat="1" ht="16.5" customHeight="1" x14ac:dyDescent="0.2">
      <c r="A265" s="216" t="s">
        <v>200</v>
      </c>
      <c r="B265" s="331" t="s">
        <v>93</v>
      </c>
      <c r="C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0">
        <v>90</v>
      </c>
      <c r="O265" s="215"/>
      <c r="P265" s="215"/>
      <c r="Q265" s="205"/>
      <c r="R265" s="502"/>
      <c r="S265" s="136">
        <f t="shared" ref="S265:S267" si="46">SUM(C265:R265)</f>
        <v>90</v>
      </c>
      <c r="T265" s="127"/>
      <c r="U265" s="137"/>
      <c r="V265" s="138">
        <f>S265-T265-U265</f>
        <v>90</v>
      </c>
      <c r="W265" s="221" t="s">
        <v>203</v>
      </c>
      <c r="X265" s="508"/>
      <c r="Y265" s="508"/>
      <c r="Z265" s="508"/>
      <c r="AA265" s="221"/>
      <c r="AB265" s="221"/>
      <c r="AC265" s="221"/>
    </row>
    <row r="266" spans="1:29" x14ac:dyDescent="0.2">
      <c r="A266" s="216" t="s">
        <v>205</v>
      </c>
      <c r="B266" s="331" t="s">
        <v>93</v>
      </c>
      <c r="C266" s="187"/>
      <c r="D266" s="187"/>
      <c r="E266" s="187"/>
      <c r="F266" s="187"/>
      <c r="G266" s="187"/>
      <c r="H266" s="187"/>
      <c r="I266" s="399"/>
      <c r="J266" s="399"/>
      <c r="K266" s="399"/>
      <c r="L266" s="187"/>
      <c r="M266" s="187"/>
      <c r="N266" s="187"/>
      <c r="O266" s="187"/>
      <c r="P266" s="187"/>
      <c r="Q266" s="205"/>
      <c r="R266" s="502"/>
      <c r="S266" s="136">
        <f t="shared" si="46"/>
        <v>0</v>
      </c>
      <c r="T266" s="190"/>
      <c r="U266" s="190"/>
      <c r="V266" s="138">
        <f>S266-T266-U266</f>
        <v>0</v>
      </c>
    </row>
    <row r="267" spans="1:29" s="8" customFormat="1" ht="16.5" customHeight="1" x14ac:dyDescent="0.2">
      <c r="A267" s="168"/>
      <c r="B267" s="360"/>
      <c r="C267" s="133"/>
      <c r="D267" s="133"/>
      <c r="E267" s="133"/>
      <c r="F267" s="133"/>
      <c r="G267" s="134"/>
      <c r="H267" s="134"/>
      <c r="I267" s="133"/>
      <c r="J267" s="133"/>
      <c r="K267" s="133"/>
      <c r="L267" s="133"/>
      <c r="M267" s="133"/>
      <c r="N267" s="133"/>
      <c r="O267" s="213"/>
      <c r="P267" s="213"/>
      <c r="Q267" s="211"/>
      <c r="R267" s="502"/>
      <c r="S267" s="136">
        <f t="shared" si="46"/>
        <v>0</v>
      </c>
      <c r="T267" s="212"/>
      <c r="U267" s="137"/>
      <c r="V267" s="138"/>
      <c r="W267" s="182"/>
      <c r="X267" s="181"/>
      <c r="Z267" s="110"/>
      <c r="AA267" s="110"/>
      <c r="AB267" s="110"/>
      <c r="AC267" s="110"/>
    </row>
    <row r="268" spans="1:29" s="8" customFormat="1" ht="16.5" customHeight="1" x14ac:dyDescent="0.2">
      <c r="A268" s="229"/>
      <c r="B268" s="229"/>
      <c r="C268" s="230">
        <f>SUM(C246:C266)</f>
        <v>756</v>
      </c>
      <c r="D268" s="230">
        <f>SUM(D246:D266)</f>
        <v>815</v>
      </c>
      <c r="E268" s="230">
        <f>SUM(E246:E266)</f>
        <v>406</v>
      </c>
      <c r="F268" s="230">
        <f>SUM(F246:F266)</f>
        <v>804</v>
      </c>
      <c r="G268" s="230">
        <f>SUM(G246:G267)</f>
        <v>382</v>
      </c>
      <c r="H268" s="230">
        <f>SUM(H246:H266)</f>
        <v>810</v>
      </c>
      <c r="I268" s="230">
        <f>SUM(I246:I266)</f>
        <v>411</v>
      </c>
      <c r="J268" s="230">
        <f>SUM(J246:J266)</f>
        <v>809</v>
      </c>
      <c r="K268" s="230">
        <f>SUM(K246:K266)</f>
        <v>526</v>
      </c>
      <c r="L268" s="230">
        <f>SUM(L246:L267)</f>
        <v>1249</v>
      </c>
      <c r="M268" s="230">
        <f>SUM(M246:M266)</f>
        <v>521</v>
      </c>
      <c r="N268" s="230">
        <f>SUM(N246:N267)</f>
        <v>1231</v>
      </c>
      <c r="O268" s="230">
        <f>SUM(O246:O267)</f>
        <v>482</v>
      </c>
      <c r="P268" s="230">
        <f>SUM(P246:P267)</f>
        <v>897</v>
      </c>
      <c r="Q268" s="230">
        <f>SUM(Q246:Q266)</f>
        <v>0</v>
      </c>
      <c r="R268" s="230">
        <f>SUM(R246:R266)</f>
        <v>0</v>
      </c>
      <c r="S268" s="231">
        <f>SUM(S246:S267)</f>
        <v>10099</v>
      </c>
      <c r="T268" s="230">
        <f>SUM(T248:T267)</f>
        <v>3407</v>
      </c>
      <c r="U268" s="232">
        <f>SUM(U246:U267)</f>
        <v>0</v>
      </c>
      <c r="V268" s="233">
        <f>SUM(V246:V267)</f>
        <v>6692</v>
      </c>
    </row>
    <row r="269" spans="1:29" s="8" customFormat="1" ht="16.5" customHeight="1" x14ac:dyDescent="0.2">
      <c r="A269" s="160"/>
      <c r="B269" s="234"/>
      <c r="C269" s="235"/>
      <c r="D269" s="235">
        <f>C268+D268</f>
        <v>1571</v>
      </c>
      <c r="E269" s="235"/>
      <c r="F269" s="235">
        <f>E268+F268</f>
        <v>1210</v>
      </c>
      <c r="G269" s="235"/>
      <c r="H269" s="235">
        <f>G268+H268</f>
        <v>1192</v>
      </c>
      <c r="I269" s="235"/>
      <c r="J269" s="235">
        <f>I268+J268</f>
        <v>1220</v>
      </c>
      <c r="K269" s="235"/>
      <c r="L269" s="235">
        <f>K268+L268</f>
        <v>1775</v>
      </c>
      <c r="M269" s="235"/>
      <c r="N269" s="235">
        <f>M268+N268</f>
        <v>1752</v>
      </c>
      <c r="O269" s="235"/>
      <c r="P269" s="235">
        <f>O268+P268</f>
        <v>1379</v>
      </c>
      <c r="Q269" s="236"/>
      <c r="R269" s="497"/>
      <c r="S269" s="237" t="s">
        <v>116</v>
      </c>
      <c r="T269" s="544">
        <f>T268+U268</f>
        <v>3407</v>
      </c>
      <c r="U269" s="545"/>
      <c r="V269" s="391" t="s">
        <v>149</v>
      </c>
    </row>
    <row r="270" spans="1:29" s="8" customFormat="1" ht="16.5" customHeight="1" x14ac:dyDescent="0.2">
      <c r="A270" s="238" t="s">
        <v>80</v>
      </c>
      <c r="B270" s="238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 t="s">
        <v>81</v>
      </c>
      <c r="P270" s="240">
        <f>SUM(C257:R266)</f>
        <v>3959</v>
      </c>
      <c r="Q270" s="239"/>
      <c r="U270" s="119"/>
    </row>
    <row r="271" spans="1:29" s="8" customFormat="1" ht="16.5" customHeight="1" x14ac:dyDescent="0.2">
      <c r="A271" s="241" t="s">
        <v>82</v>
      </c>
      <c r="B271" s="241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 t="s">
        <v>83</v>
      </c>
      <c r="P271" s="243">
        <f>SUM(C248:R254)</f>
        <v>5890</v>
      </c>
      <c r="Q271" s="243">
        <f>P270+P271</f>
        <v>9849</v>
      </c>
      <c r="U271" s="119"/>
    </row>
    <row r="272" spans="1:29" s="8" customFormat="1" ht="16.5" customHeight="1" x14ac:dyDescent="0.2">
      <c r="A272" s="244"/>
      <c r="B272" s="244"/>
      <c r="R272" s="245" t="s">
        <v>84</v>
      </c>
      <c r="S272" s="246">
        <f>C268+E268+G268+I268+K268+M268+O268</f>
        <v>3484</v>
      </c>
      <c r="T272" s="119"/>
    </row>
    <row r="273" spans="1:20" s="8" customFormat="1" x14ac:dyDescent="0.2">
      <c r="A273" s="244"/>
      <c r="B273" s="244"/>
      <c r="D273" s="110"/>
      <c r="E273" s="546" t="s">
        <v>219</v>
      </c>
      <c r="F273" s="546"/>
      <c r="G273" s="546"/>
      <c r="H273" s="546"/>
      <c r="I273" s="546"/>
      <c r="J273" s="546"/>
      <c r="K273" s="546"/>
      <c r="L273" s="546"/>
      <c r="R273" s="247" t="s">
        <v>85</v>
      </c>
      <c r="S273" s="248">
        <f>D268+F268+H268+J268+L268+N268+P268+Q268</f>
        <v>6615</v>
      </c>
      <c r="T273" s="119"/>
    </row>
    <row r="274" spans="1:20" x14ac:dyDescent="0.2">
      <c r="E274" s="389"/>
      <c r="F274" s="389"/>
      <c r="G274" s="389"/>
      <c r="H274" s="389"/>
      <c r="I274" s="389"/>
      <c r="J274" s="389"/>
      <c r="K274" s="389"/>
      <c r="L274" s="389"/>
      <c r="M274" s="118"/>
    </row>
  </sheetData>
  <mergeCells count="202">
    <mergeCell ref="W216:Y216"/>
    <mergeCell ref="W218:Z218"/>
    <mergeCell ref="Y221:AB221"/>
    <mergeCell ref="X222:Y222"/>
    <mergeCell ref="W223:Z223"/>
    <mergeCell ref="T235:U235"/>
    <mergeCell ref="E239:L239"/>
    <mergeCell ref="O209:P209"/>
    <mergeCell ref="C210:D210"/>
    <mergeCell ref="E210:F210"/>
    <mergeCell ref="G210:H210"/>
    <mergeCell ref="I210:J210"/>
    <mergeCell ref="K210:L210"/>
    <mergeCell ref="M210:N210"/>
    <mergeCell ref="O210:P210"/>
    <mergeCell ref="W214:Z214"/>
    <mergeCell ref="A208:B208"/>
    <mergeCell ref="C208:D208"/>
    <mergeCell ref="A209:B209"/>
    <mergeCell ref="C209:D209"/>
    <mergeCell ref="E209:F209"/>
    <mergeCell ref="G209:H209"/>
    <mergeCell ref="I209:J209"/>
    <mergeCell ref="K209:L209"/>
    <mergeCell ref="M209:N209"/>
    <mergeCell ref="V118:Y118"/>
    <mergeCell ref="S130:T130"/>
    <mergeCell ref="E134:L134"/>
    <mergeCell ref="G135:L135"/>
    <mergeCell ref="V109:Y109"/>
    <mergeCell ref="V111:X111"/>
    <mergeCell ref="V113:Y113"/>
    <mergeCell ref="X116:AA116"/>
    <mergeCell ref="W117:X117"/>
    <mergeCell ref="I104:J104"/>
    <mergeCell ref="K104:L104"/>
    <mergeCell ref="M104:N104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A103:B103"/>
    <mergeCell ref="A104:B104"/>
    <mergeCell ref="C104:D104"/>
    <mergeCell ref="E104:F104"/>
    <mergeCell ref="G104:H104"/>
    <mergeCell ref="G100:L100"/>
    <mergeCell ref="A1:B1"/>
    <mergeCell ref="A2:B2"/>
    <mergeCell ref="C2:D2"/>
    <mergeCell ref="E2:F2"/>
    <mergeCell ref="G2:H2"/>
    <mergeCell ref="K2:L2"/>
    <mergeCell ref="E32:L32"/>
    <mergeCell ref="E33:L33"/>
    <mergeCell ref="E31:L31"/>
    <mergeCell ref="A36:B36"/>
    <mergeCell ref="A37:B37"/>
    <mergeCell ref="C37:D37"/>
    <mergeCell ref="E37:F37"/>
    <mergeCell ref="G37:H37"/>
    <mergeCell ref="I37:J37"/>
    <mergeCell ref="C38:D38"/>
    <mergeCell ref="E38:F38"/>
    <mergeCell ref="G38:H38"/>
    <mergeCell ref="M2:N2"/>
    <mergeCell ref="O2:P2"/>
    <mergeCell ref="C3:D3"/>
    <mergeCell ref="E3:F3"/>
    <mergeCell ref="G3:H3"/>
    <mergeCell ref="I3:J3"/>
    <mergeCell ref="K3:L3"/>
    <mergeCell ref="M3:N3"/>
    <mergeCell ref="O3:P3"/>
    <mergeCell ref="I2:J2"/>
    <mergeCell ref="S27:T27"/>
    <mergeCell ref="V6:Y6"/>
    <mergeCell ref="V8:X8"/>
    <mergeCell ref="X13:AA13"/>
    <mergeCell ref="W14:X14"/>
    <mergeCell ref="V15:Y15"/>
    <mergeCell ref="V10:Y10"/>
    <mergeCell ref="K37:L37"/>
    <mergeCell ref="M37:N37"/>
    <mergeCell ref="O37:P37"/>
    <mergeCell ref="I38:J38"/>
    <mergeCell ref="K38:L38"/>
    <mergeCell ref="M38:N38"/>
    <mergeCell ref="O38:P38"/>
    <mergeCell ref="V41:Y41"/>
    <mergeCell ref="V43:X43"/>
    <mergeCell ref="V45:Y45"/>
    <mergeCell ref="X48:AA48"/>
    <mergeCell ref="W49:X49"/>
    <mergeCell ref="V50:Y50"/>
    <mergeCell ref="S62:T62"/>
    <mergeCell ref="E66:L66"/>
    <mergeCell ref="E67:L67"/>
    <mergeCell ref="E68:L68"/>
    <mergeCell ref="A69:B69"/>
    <mergeCell ref="A70:B70"/>
    <mergeCell ref="C70:D70"/>
    <mergeCell ref="E70:F70"/>
    <mergeCell ref="G70:H70"/>
    <mergeCell ref="I70:J70"/>
    <mergeCell ref="K70:L70"/>
    <mergeCell ref="M70:N70"/>
    <mergeCell ref="O70:P70"/>
    <mergeCell ref="E99:L99"/>
    <mergeCell ref="V74:Y74"/>
    <mergeCell ref="V76:X76"/>
    <mergeCell ref="V78:Y78"/>
    <mergeCell ref="X81:AA81"/>
    <mergeCell ref="W82:X82"/>
    <mergeCell ref="C71:D71"/>
    <mergeCell ref="E71:F71"/>
    <mergeCell ref="G71:H71"/>
    <mergeCell ref="I71:J71"/>
    <mergeCell ref="K71:L71"/>
    <mergeCell ref="M71:N71"/>
    <mergeCell ref="O71:P71"/>
    <mergeCell ref="V83:Y83"/>
    <mergeCell ref="S95:T95"/>
    <mergeCell ref="A138:B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W148:Z148"/>
    <mergeCell ref="Y151:AB151"/>
    <mergeCell ref="X152:Y152"/>
    <mergeCell ref="W153:Z153"/>
    <mergeCell ref="T165:U165"/>
    <mergeCell ref="E169:L169"/>
    <mergeCell ref="C140:D140"/>
    <mergeCell ref="E140:F140"/>
    <mergeCell ref="G140:H140"/>
    <mergeCell ref="I140:J140"/>
    <mergeCell ref="K140:L140"/>
    <mergeCell ref="M140:N140"/>
    <mergeCell ref="O140:P140"/>
    <mergeCell ref="W144:Z144"/>
    <mergeCell ref="W146:Y146"/>
    <mergeCell ref="A173:B173"/>
    <mergeCell ref="C173:D173"/>
    <mergeCell ref="A174:B174"/>
    <mergeCell ref="C174:D174"/>
    <mergeCell ref="E174:F174"/>
    <mergeCell ref="G174:H174"/>
    <mergeCell ref="I174:J174"/>
    <mergeCell ref="K174:L174"/>
    <mergeCell ref="M174:N174"/>
    <mergeCell ref="W181:Y181"/>
    <mergeCell ref="W183:Z183"/>
    <mergeCell ref="Y186:AB186"/>
    <mergeCell ref="X187:Y187"/>
    <mergeCell ref="W188:Z188"/>
    <mergeCell ref="T200:U200"/>
    <mergeCell ref="E204:L204"/>
    <mergeCell ref="O174:P174"/>
    <mergeCell ref="C175:D175"/>
    <mergeCell ref="E175:F175"/>
    <mergeCell ref="G175:H175"/>
    <mergeCell ref="I175:J175"/>
    <mergeCell ref="K175:L175"/>
    <mergeCell ref="M175:N175"/>
    <mergeCell ref="O175:P175"/>
    <mergeCell ref="W179:Z179"/>
    <mergeCell ref="A242:B242"/>
    <mergeCell ref="C242:D242"/>
    <mergeCell ref="A243:B243"/>
    <mergeCell ref="C243:D243"/>
    <mergeCell ref="E243:F243"/>
    <mergeCell ref="G243:H243"/>
    <mergeCell ref="I243:J243"/>
    <mergeCell ref="K243:L243"/>
    <mergeCell ref="M243:N243"/>
    <mergeCell ref="W250:Y250"/>
    <mergeCell ref="W252:Z252"/>
    <mergeCell ref="Y255:AB255"/>
    <mergeCell ref="X256:Y256"/>
    <mergeCell ref="W257:Z257"/>
    <mergeCell ref="T269:U269"/>
    <mergeCell ref="E273:L273"/>
    <mergeCell ref="O243:P243"/>
    <mergeCell ref="C244:D244"/>
    <mergeCell ref="E244:F244"/>
    <mergeCell ref="G244:H244"/>
    <mergeCell ref="I244:J244"/>
    <mergeCell ref="K244:L244"/>
    <mergeCell ref="M244:N244"/>
    <mergeCell ref="O244:P244"/>
    <mergeCell ref="W248:Z24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36"/>
  <sheetViews>
    <sheetView topLeftCell="A306" workbookViewId="0">
      <selection activeCell="B297" sqref="B297:S336"/>
    </sheetView>
  </sheetViews>
  <sheetFormatPr defaultRowHeight="14.25" x14ac:dyDescent="0.2"/>
  <cols>
    <col min="2" max="2" width="12.75" bestFit="1" customWidth="1"/>
    <col min="3" max="3" width="11.5" bestFit="1" customWidth="1"/>
    <col min="6" max="6" width="9.75" bestFit="1" customWidth="1"/>
    <col min="9" max="9" width="11.25" bestFit="1" customWidth="1"/>
    <col min="10" max="10" width="11.5" customWidth="1"/>
    <col min="16" max="16" width="12.25" customWidth="1"/>
  </cols>
  <sheetData>
    <row r="1" spans="2:17" ht="15" customHeight="1" x14ac:dyDescent="0.2">
      <c r="C1" s="249"/>
      <c r="D1" s="573" t="s">
        <v>95</v>
      </c>
      <c r="E1" s="573"/>
      <c r="F1" s="573" t="s">
        <v>5</v>
      </c>
      <c r="G1" s="573"/>
      <c r="H1" s="573" t="s">
        <v>29</v>
      </c>
      <c r="I1" s="573"/>
      <c r="J1" s="250"/>
      <c r="L1" s="574" t="s">
        <v>124</v>
      </c>
      <c r="M1" s="574"/>
      <c r="N1" s="574"/>
      <c r="O1" s="574"/>
      <c r="P1" s="574"/>
      <c r="Q1" s="574"/>
    </row>
    <row r="2" spans="2:17" ht="15" customHeight="1" thickBot="1" x14ac:dyDescent="0.25">
      <c r="B2" s="566"/>
      <c r="C2" s="575"/>
      <c r="D2" s="311" t="s">
        <v>96</v>
      </c>
      <c r="E2" s="311" t="s">
        <v>31</v>
      </c>
      <c r="F2" s="311" t="s">
        <v>96</v>
      </c>
      <c r="G2" s="311" t="s">
        <v>31</v>
      </c>
      <c r="H2" s="311" t="s">
        <v>96</v>
      </c>
      <c r="I2" s="311" t="s">
        <v>31</v>
      </c>
      <c r="J2" s="311" t="s">
        <v>97</v>
      </c>
      <c r="M2" s="252"/>
      <c r="N2" s="252"/>
      <c r="P2" s="253" t="s">
        <v>98</v>
      </c>
    </row>
    <row r="3" spans="2:17" ht="15" customHeight="1" x14ac:dyDescent="0.2">
      <c r="B3" s="251" t="s">
        <v>34</v>
      </c>
      <c r="C3" s="254">
        <v>46020</v>
      </c>
      <c r="D3" s="312">
        <v>878.09</v>
      </c>
      <c r="E3" s="255">
        <v>119.14999999999998</v>
      </c>
      <c r="F3" s="256">
        <v>2689.7599999999998</v>
      </c>
      <c r="G3" s="256">
        <v>991.98</v>
      </c>
      <c r="H3" s="313">
        <v>3567.85</v>
      </c>
      <c r="I3" s="313">
        <v>1111.1300000000001</v>
      </c>
      <c r="J3" s="314">
        <v>4678.9799999999996</v>
      </c>
    </row>
    <row r="4" spans="2:17" ht="15" customHeight="1" x14ac:dyDescent="0.2">
      <c r="B4" s="251" t="s">
        <v>35</v>
      </c>
      <c r="C4" s="254">
        <v>46021</v>
      </c>
      <c r="D4" s="315">
        <v>302.2</v>
      </c>
      <c r="E4" s="68">
        <v>300.2</v>
      </c>
      <c r="F4" s="69">
        <v>2813.65</v>
      </c>
      <c r="G4" s="69">
        <v>645.70000000000005</v>
      </c>
      <c r="H4" s="257">
        <v>3115.85</v>
      </c>
      <c r="I4" s="257">
        <v>945.90000000000009</v>
      </c>
      <c r="J4" s="316">
        <v>4061.75</v>
      </c>
      <c r="L4" t="s">
        <v>99</v>
      </c>
      <c r="M4" s="258">
        <v>46020</v>
      </c>
      <c r="N4" s="252" t="s">
        <v>100</v>
      </c>
      <c r="P4" s="259">
        <v>72</v>
      </c>
    </row>
    <row r="5" spans="2:17" ht="15" customHeight="1" x14ac:dyDescent="0.2">
      <c r="B5" s="251" t="s">
        <v>36</v>
      </c>
      <c r="C5" s="254">
        <v>46022</v>
      </c>
      <c r="D5" s="315">
        <v>742.33</v>
      </c>
      <c r="E5" s="68">
        <v>218.59999999999997</v>
      </c>
      <c r="F5" s="69">
        <v>3832.41</v>
      </c>
      <c r="G5" s="69">
        <v>1017.7099999999998</v>
      </c>
      <c r="H5" s="260">
        <v>4574.74</v>
      </c>
      <c r="I5" s="260">
        <v>1236.3099999999997</v>
      </c>
      <c r="J5" s="317">
        <v>5811.0499999999993</v>
      </c>
      <c r="M5" s="252"/>
      <c r="N5" s="252" t="s">
        <v>101</v>
      </c>
      <c r="P5" s="259">
        <v>83.16</v>
      </c>
    </row>
    <row r="6" spans="2:17" ht="15" customHeight="1" x14ac:dyDescent="0.2">
      <c r="B6" s="251" t="s">
        <v>37</v>
      </c>
      <c r="C6" s="254">
        <v>46023</v>
      </c>
      <c r="D6" s="322">
        <v>0</v>
      </c>
      <c r="E6" s="323">
        <v>0</v>
      </c>
      <c r="F6" s="323">
        <v>0</v>
      </c>
      <c r="G6" s="323">
        <v>0</v>
      </c>
      <c r="H6" s="324">
        <v>0</v>
      </c>
      <c r="I6" s="324">
        <v>0</v>
      </c>
      <c r="J6" s="325">
        <v>0</v>
      </c>
      <c r="M6" s="252"/>
      <c r="N6" t="s">
        <v>101</v>
      </c>
      <c r="P6" s="261">
        <v>29.01</v>
      </c>
    </row>
    <row r="7" spans="2:17" ht="15" customHeight="1" x14ac:dyDescent="0.2">
      <c r="B7" s="251" t="s">
        <v>38</v>
      </c>
      <c r="C7" s="254">
        <v>46024</v>
      </c>
      <c r="D7" s="322">
        <v>0</v>
      </c>
      <c r="E7" s="323">
        <v>0</v>
      </c>
      <c r="F7" s="69">
        <v>2653.0299999999997</v>
      </c>
      <c r="G7" s="69">
        <v>745.50000000000023</v>
      </c>
      <c r="H7" s="257">
        <v>2653.0299999999997</v>
      </c>
      <c r="I7" s="257">
        <v>745.50000000000023</v>
      </c>
      <c r="J7" s="316">
        <v>3398.5299999999997</v>
      </c>
      <c r="N7" s="252"/>
      <c r="P7" s="261"/>
    </row>
    <row r="8" spans="2:17" ht="15" customHeight="1" x14ac:dyDescent="0.2">
      <c r="B8" s="251" t="s">
        <v>40</v>
      </c>
      <c r="C8" s="254">
        <v>46025</v>
      </c>
      <c r="D8" s="315">
        <v>973.61</v>
      </c>
      <c r="E8" s="68">
        <v>362.99999999999989</v>
      </c>
      <c r="F8" s="69">
        <v>4971.18</v>
      </c>
      <c r="G8" s="69">
        <v>692.59999999999957</v>
      </c>
      <c r="H8" s="257">
        <v>5944.79</v>
      </c>
      <c r="I8" s="257">
        <v>1055.5999999999995</v>
      </c>
      <c r="J8" s="316">
        <v>7000.3899999999994</v>
      </c>
      <c r="L8" t="s">
        <v>102</v>
      </c>
      <c r="M8" s="258">
        <v>46021</v>
      </c>
      <c r="N8" s="252" t="s">
        <v>100</v>
      </c>
      <c r="P8" s="259">
        <v>60.5</v>
      </c>
    </row>
    <row r="9" spans="2:17" ht="15" customHeight="1" x14ac:dyDescent="0.2">
      <c r="B9" s="251" t="s">
        <v>41</v>
      </c>
      <c r="C9" s="254">
        <v>46026</v>
      </c>
      <c r="D9" s="315">
        <v>1341.88</v>
      </c>
      <c r="E9" s="68">
        <v>345.3</v>
      </c>
      <c r="F9" s="69">
        <v>2541.37</v>
      </c>
      <c r="G9" s="69">
        <v>545.45000000000016</v>
      </c>
      <c r="H9" s="257">
        <v>3883.25</v>
      </c>
      <c r="I9" s="257">
        <v>890.75000000000023</v>
      </c>
      <c r="J9" s="316">
        <v>4774</v>
      </c>
      <c r="N9" s="252" t="s">
        <v>140</v>
      </c>
      <c r="P9" s="259">
        <v>528</v>
      </c>
    </row>
    <row r="10" spans="2:17" ht="15" customHeight="1" thickBot="1" x14ac:dyDescent="0.25">
      <c r="B10" s="566"/>
      <c r="C10" s="567"/>
      <c r="D10" s="318">
        <v>4238.1100000000006</v>
      </c>
      <c r="E10" s="310">
        <v>1346.2499999999998</v>
      </c>
      <c r="F10" s="310">
        <v>19501.399999999998</v>
      </c>
      <c r="G10" s="310">
        <v>4638.9399999999996</v>
      </c>
      <c r="H10" s="319">
        <v>23739.51</v>
      </c>
      <c r="I10" s="320">
        <v>5985.19</v>
      </c>
      <c r="J10" s="321">
        <v>29724.699999999997</v>
      </c>
      <c r="N10" s="252" t="s">
        <v>141</v>
      </c>
      <c r="P10" s="261">
        <v>63.5</v>
      </c>
    </row>
    <row r="11" spans="2:17" ht="15" customHeight="1" thickBot="1" x14ac:dyDescent="0.25">
      <c r="C11" s="249"/>
    </row>
    <row r="12" spans="2:17" ht="15" customHeight="1" x14ac:dyDescent="0.2">
      <c r="B12" s="568" t="s">
        <v>133</v>
      </c>
      <c r="C12" s="569"/>
      <c r="D12" s="569"/>
      <c r="E12" s="570"/>
      <c r="L12" t="s">
        <v>103</v>
      </c>
      <c r="M12" s="258">
        <v>46022</v>
      </c>
      <c r="N12" s="252" t="s">
        <v>100</v>
      </c>
      <c r="O12" s="262"/>
      <c r="P12" s="259">
        <v>75.5</v>
      </c>
    </row>
    <row r="13" spans="2:17" ht="15" customHeight="1" x14ac:dyDescent="0.2">
      <c r="B13" s="263"/>
      <c r="C13" s="264" t="s">
        <v>50</v>
      </c>
      <c r="D13" s="264" t="s">
        <v>51</v>
      </c>
      <c r="E13" s="265" t="s">
        <v>104</v>
      </c>
      <c r="M13" s="258"/>
      <c r="N13" s="252" t="s">
        <v>101</v>
      </c>
      <c r="P13" s="261">
        <v>218.2</v>
      </c>
    </row>
    <row r="14" spans="2:17" ht="15" customHeight="1" x14ac:dyDescent="0.2">
      <c r="B14" s="266"/>
      <c r="C14" s="267"/>
      <c r="D14" s="268"/>
      <c r="E14" s="269"/>
      <c r="N14" s="252" t="s">
        <v>142</v>
      </c>
      <c r="P14" s="261">
        <v>15</v>
      </c>
    </row>
    <row r="15" spans="2:17" ht="15" customHeight="1" x14ac:dyDescent="0.2">
      <c r="B15" s="270" t="s">
        <v>54</v>
      </c>
      <c r="C15" s="267">
        <v>250</v>
      </c>
      <c r="D15" s="268"/>
      <c r="E15" s="269"/>
      <c r="G15" s="565"/>
      <c r="H15" s="565"/>
      <c r="I15" s="271"/>
      <c r="N15" s="252" t="s">
        <v>142</v>
      </c>
      <c r="P15" s="261">
        <v>39</v>
      </c>
    </row>
    <row r="16" spans="2:17" ht="15" customHeight="1" thickBot="1" x14ac:dyDescent="0.25">
      <c r="B16" s="270" t="s">
        <v>55</v>
      </c>
      <c r="C16" s="267">
        <v>1010</v>
      </c>
      <c r="D16" s="268">
        <v>962</v>
      </c>
      <c r="E16" s="269"/>
      <c r="G16" s="565"/>
      <c r="H16" s="565"/>
      <c r="I16" s="271"/>
      <c r="N16" s="252" t="s">
        <v>143</v>
      </c>
      <c r="P16" s="261">
        <v>51.15</v>
      </c>
    </row>
    <row r="17" spans="2:19" ht="15" customHeight="1" x14ac:dyDescent="0.2">
      <c r="B17" s="272" t="s">
        <v>56</v>
      </c>
      <c r="C17" s="267">
        <v>1085</v>
      </c>
      <c r="D17" s="268"/>
      <c r="E17" s="269"/>
      <c r="G17" s="571" t="s">
        <v>139</v>
      </c>
      <c r="H17" s="572"/>
      <c r="I17" s="273">
        <v>250</v>
      </c>
      <c r="J17" s="274"/>
      <c r="N17" s="252" t="s">
        <v>148</v>
      </c>
      <c r="P17" s="261">
        <v>50</v>
      </c>
    </row>
    <row r="18" spans="2:19" ht="15" customHeight="1" x14ac:dyDescent="0.2">
      <c r="B18" s="275" t="s">
        <v>58</v>
      </c>
      <c r="C18" s="267">
        <v>765</v>
      </c>
      <c r="D18" s="268">
        <v>1145</v>
      </c>
      <c r="E18" s="269"/>
      <c r="G18" s="564" t="s">
        <v>135</v>
      </c>
      <c r="H18" s="565"/>
      <c r="I18" s="277">
        <v>215</v>
      </c>
      <c r="J18" s="384">
        <v>46019</v>
      </c>
    </row>
    <row r="19" spans="2:19" ht="15" customHeight="1" x14ac:dyDescent="0.2">
      <c r="B19" s="272" t="s">
        <v>61</v>
      </c>
      <c r="C19" s="267">
        <v>845</v>
      </c>
      <c r="D19" s="268"/>
      <c r="E19" s="269">
        <v>3</v>
      </c>
      <c r="G19" s="564" t="s">
        <v>134</v>
      </c>
      <c r="H19" s="565"/>
      <c r="I19" s="277">
        <v>97</v>
      </c>
      <c r="J19" s="279">
        <v>46019</v>
      </c>
      <c r="L19" t="s">
        <v>105</v>
      </c>
      <c r="M19" s="258">
        <v>45658</v>
      </c>
      <c r="N19" s="252" t="s">
        <v>100</v>
      </c>
      <c r="P19" s="259"/>
    </row>
    <row r="20" spans="2:19" ht="15" customHeight="1" x14ac:dyDescent="0.2">
      <c r="B20" s="275" t="s">
        <v>63</v>
      </c>
      <c r="C20" s="267">
        <v>580</v>
      </c>
      <c r="D20" s="268">
        <v>250</v>
      </c>
      <c r="E20" s="278"/>
      <c r="G20" s="564" t="s">
        <v>106</v>
      </c>
      <c r="H20" s="565"/>
      <c r="I20" s="277">
        <v>415</v>
      </c>
      <c r="J20" s="279">
        <v>46019</v>
      </c>
      <c r="N20" s="326" t="s">
        <v>125</v>
      </c>
      <c r="P20" s="261"/>
    </row>
    <row r="21" spans="2:19" ht="15" customHeight="1" x14ac:dyDescent="0.2">
      <c r="B21" s="270" t="s">
        <v>65</v>
      </c>
      <c r="C21" s="267">
        <v>230</v>
      </c>
      <c r="D21" s="268"/>
      <c r="E21" s="269"/>
      <c r="G21" s="280" t="s">
        <v>108</v>
      </c>
      <c r="I21" s="385">
        <v>5985.19</v>
      </c>
      <c r="J21" s="281"/>
      <c r="N21" s="252"/>
      <c r="P21" s="261"/>
    </row>
    <row r="22" spans="2:19" ht="15" customHeight="1" x14ac:dyDescent="0.2">
      <c r="B22" s="275" t="s">
        <v>159</v>
      </c>
      <c r="C22" s="267">
        <v>0</v>
      </c>
      <c r="D22" s="268"/>
      <c r="E22" s="269"/>
      <c r="G22" s="280" t="s">
        <v>109</v>
      </c>
      <c r="I22" s="392">
        <v>500</v>
      </c>
      <c r="J22" s="282"/>
      <c r="K22" s="118"/>
      <c r="N22" s="252"/>
      <c r="P22" s="261"/>
    </row>
    <row r="23" spans="2:19" ht="15" customHeight="1" x14ac:dyDescent="0.2">
      <c r="B23" s="275" t="s">
        <v>67</v>
      </c>
      <c r="C23" s="267">
        <v>120</v>
      </c>
      <c r="D23" s="268"/>
      <c r="E23" s="269"/>
      <c r="G23" s="564"/>
      <c r="H23" s="565"/>
      <c r="I23" s="271"/>
      <c r="J23" s="281"/>
      <c r="L23" t="s">
        <v>107</v>
      </c>
      <c r="M23" s="258">
        <v>45659</v>
      </c>
      <c r="N23" s="252" t="s">
        <v>100</v>
      </c>
      <c r="P23" s="259">
        <v>90.5</v>
      </c>
    </row>
    <row r="24" spans="2:19" ht="15" customHeight="1" x14ac:dyDescent="0.2">
      <c r="B24" s="275" t="s">
        <v>68</v>
      </c>
      <c r="C24" s="267">
        <v>240</v>
      </c>
      <c r="D24" s="268"/>
      <c r="E24" s="269"/>
      <c r="G24" s="280"/>
      <c r="H24" s="283" t="s">
        <v>110</v>
      </c>
      <c r="I24" s="284">
        <f>SUM(I17:I23)</f>
        <v>7462.19</v>
      </c>
      <c r="J24" s="281"/>
      <c r="N24" s="252" t="s">
        <v>101</v>
      </c>
      <c r="P24" s="261">
        <v>2.5</v>
      </c>
    </row>
    <row r="25" spans="2:19" ht="15" customHeight="1" x14ac:dyDescent="0.2">
      <c r="B25" s="272" t="s">
        <v>69</v>
      </c>
      <c r="C25" s="267">
        <v>831</v>
      </c>
      <c r="D25" s="268">
        <v>800</v>
      </c>
      <c r="E25" s="269"/>
      <c r="G25" s="280"/>
      <c r="H25" s="283"/>
      <c r="I25" s="283"/>
      <c r="J25" s="281"/>
      <c r="N25" s="388" t="s">
        <v>146</v>
      </c>
      <c r="O25" s="389"/>
      <c r="P25" s="390">
        <v>231.8</v>
      </c>
      <c r="Q25" s="389" t="s">
        <v>147</v>
      </c>
    </row>
    <row r="26" spans="2:19" ht="15" customHeight="1" x14ac:dyDescent="0.2">
      <c r="B26" s="272" t="s">
        <v>70</v>
      </c>
      <c r="C26" s="267">
        <v>400</v>
      </c>
      <c r="D26" s="268"/>
      <c r="E26" s="269"/>
      <c r="G26" s="280"/>
      <c r="J26" s="281"/>
    </row>
    <row r="27" spans="2:19" ht="15" customHeight="1" x14ac:dyDescent="0.2">
      <c r="B27" s="272" t="s">
        <v>71</v>
      </c>
      <c r="C27" s="267">
        <v>478</v>
      </c>
      <c r="D27" s="268"/>
      <c r="E27" s="269"/>
      <c r="G27" s="276"/>
      <c r="H27" s="285"/>
      <c r="I27" s="285"/>
      <c r="J27" s="281"/>
      <c r="L27" t="s">
        <v>111</v>
      </c>
      <c r="M27" s="258">
        <v>45660</v>
      </c>
      <c r="N27" s="252" t="s">
        <v>100</v>
      </c>
      <c r="P27" s="259">
        <v>100.5</v>
      </c>
    </row>
    <row r="28" spans="2:19" ht="15" customHeight="1" x14ac:dyDescent="0.2">
      <c r="B28" s="272" t="s">
        <v>72</v>
      </c>
      <c r="C28" s="267">
        <v>474</v>
      </c>
      <c r="D28" s="268">
        <v>250</v>
      </c>
      <c r="E28" s="269"/>
      <c r="G28" s="564"/>
      <c r="H28" s="565"/>
      <c r="I28" s="277"/>
      <c r="J28" s="279"/>
      <c r="N28" s="252" t="s">
        <v>101</v>
      </c>
      <c r="P28" s="261">
        <v>127.3</v>
      </c>
      <c r="Q28" s="560"/>
      <c r="R28" s="560"/>
      <c r="S28" s="560"/>
    </row>
    <row r="29" spans="2:19" ht="15" customHeight="1" x14ac:dyDescent="0.2">
      <c r="B29" s="272" t="s">
        <v>74</v>
      </c>
      <c r="C29" s="267">
        <v>258</v>
      </c>
      <c r="D29" s="268"/>
      <c r="E29" s="269"/>
      <c r="G29" s="276" t="s">
        <v>112</v>
      </c>
      <c r="I29" s="277">
        <v>380</v>
      </c>
      <c r="J29" s="279">
        <v>46026</v>
      </c>
      <c r="N29" s="252" t="s">
        <v>144</v>
      </c>
      <c r="P29" s="261">
        <v>10</v>
      </c>
    </row>
    <row r="30" spans="2:19" ht="15" customHeight="1" x14ac:dyDescent="0.2">
      <c r="B30" s="272" t="s">
        <v>75</v>
      </c>
      <c r="C30" s="267">
        <v>100</v>
      </c>
      <c r="D30" s="268"/>
      <c r="E30" s="269"/>
      <c r="G30" s="280" t="s">
        <v>113</v>
      </c>
      <c r="I30" s="287">
        <v>1974.62</v>
      </c>
      <c r="J30" s="281"/>
      <c r="N30" s="252" t="s">
        <v>145</v>
      </c>
      <c r="P30" s="261">
        <v>40</v>
      </c>
    </row>
    <row r="31" spans="2:19" ht="15" customHeight="1" x14ac:dyDescent="0.2">
      <c r="B31" s="272" t="s">
        <v>78</v>
      </c>
      <c r="C31" s="267">
        <v>100</v>
      </c>
      <c r="D31" s="268"/>
      <c r="E31" s="269"/>
      <c r="G31" s="280" t="s">
        <v>114</v>
      </c>
      <c r="I31" s="288">
        <v>4835.5</v>
      </c>
      <c r="J31" s="281"/>
      <c r="N31" s="252"/>
      <c r="P31" s="261"/>
    </row>
    <row r="32" spans="2:19" ht="15" customHeight="1" x14ac:dyDescent="0.2">
      <c r="B32" s="272" t="s">
        <v>79</v>
      </c>
      <c r="C32" s="267">
        <v>476.5</v>
      </c>
      <c r="D32" s="268"/>
      <c r="E32" s="269"/>
      <c r="G32" s="280"/>
      <c r="J32" s="281"/>
      <c r="N32" s="252"/>
      <c r="P32" s="261"/>
      <c r="Q32" s="560"/>
      <c r="R32" s="560"/>
      <c r="S32" s="560"/>
    </row>
    <row r="33" spans="1:19" ht="15" customHeight="1" x14ac:dyDescent="0.2">
      <c r="B33" s="272"/>
      <c r="C33" s="267"/>
      <c r="D33" s="268"/>
      <c r="E33" s="269"/>
      <c r="G33" s="280"/>
      <c r="H33" s="283" t="s">
        <v>115</v>
      </c>
      <c r="I33" s="284">
        <f>SUM(I27:I31)</f>
        <v>7190.12</v>
      </c>
      <c r="J33" s="281"/>
      <c r="N33" s="252"/>
      <c r="P33" s="261"/>
    </row>
    <row r="34" spans="1:19" ht="15" customHeight="1" x14ac:dyDescent="0.2">
      <c r="B34" s="289"/>
      <c r="C34" s="267"/>
      <c r="D34" s="286"/>
      <c r="E34" s="278"/>
      <c r="G34" s="280"/>
      <c r="J34" s="281"/>
      <c r="K34" t="s">
        <v>116</v>
      </c>
    </row>
    <row r="35" spans="1:19" ht="15" customHeight="1" x14ac:dyDescent="0.2">
      <c r="B35" s="289"/>
      <c r="C35" s="267"/>
      <c r="D35" s="286"/>
      <c r="E35" s="278"/>
      <c r="G35" s="290" t="s">
        <v>117</v>
      </c>
      <c r="H35" s="291"/>
      <c r="I35" s="292">
        <f>I24-I33</f>
        <v>272.06999999999971</v>
      </c>
      <c r="J35" s="293"/>
      <c r="L35" t="s">
        <v>118</v>
      </c>
      <c r="M35" s="258">
        <v>45661</v>
      </c>
      <c r="N35" s="252" t="s">
        <v>100</v>
      </c>
      <c r="P35" s="259">
        <v>77</v>
      </c>
    </row>
    <row r="36" spans="1:19" ht="15" customHeight="1" x14ac:dyDescent="0.2">
      <c r="B36" s="289"/>
      <c r="C36" s="286"/>
      <c r="D36" s="286"/>
      <c r="E36" s="278"/>
      <c r="G36" s="280"/>
      <c r="I36" s="294"/>
      <c r="J36" s="281"/>
      <c r="N36" s="252" t="s">
        <v>144</v>
      </c>
      <c r="P36" s="261">
        <v>10</v>
      </c>
    </row>
    <row r="37" spans="1:19" ht="15" customHeight="1" x14ac:dyDescent="0.2">
      <c r="B37" s="289"/>
      <c r="C37" s="286"/>
      <c r="D37" s="286"/>
      <c r="E37" s="278"/>
      <c r="G37" s="289" t="s">
        <v>119</v>
      </c>
      <c r="I37" s="284">
        <v>272.10000000000002</v>
      </c>
      <c r="J37" s="281"/>
      <c r="N37" s="252"/>
      <c r="P37" s="261"/>
    </row>
    <row r="38" spans="1:19" ht="15" customHeight="1" thickBot="1" x14ac:dyDescent="0.25">
      <c r="B38" s="295" t="s">
        <v>120</v>
      </c>
      <c r="C38" s="296">
        <f>SUM(C14:C37)</f>
        <v>8242.5</v>
      </c>
      <c r="D38" s="297"/>
      <c r="E38" s="298"/>
      <c r="G38" s="299"/>
      <c r="H38" s="300"/>
      <c r="I38" s="561"/>
      <c r="J38" s="562"/>
      <c r="M38" s="252"/>
      <c r="N38" s="252"/>
      <c r="P38" s="259"/>
    </row>
    <row r="39" spans="1:19" x14ac:dyDescent="0.2">
      <c r="B39" s="301" t="s">
        <v>121</v>
      </c>
      <c r="C39" s="267">
        <f>SUM(D15:E34)</f>
        <v>3410</v>
      </c>
      <c r="D39" s="302"/>
      <c r="E39" s="303"/>
      <c r="L39" t="s">
        <v>116</v>
      </c>
      <c r="M39" s="252"/>
      <c r="N39" s="304" t="s">
        <v>122</v>
      </c>
      <c r="P39" s="305">
        <f>SUM(P4:P37)</f>
        <v>1974.62</v>
      </c>
    </row>
    <row r="40" spans="1:19" ht="15" thickBot="1" x14ac:dyDescent="0.25">
      <c r="B40" s="306" t="s">
        <v>123</v>
      </c>
      <c r="C40" s="307">
        <f>C38-C39</f>
        <v>4832.5</v>
      </c>
      <c r="D40" s="308"/>
      <c r="E40" s="309"/>
      <c r="G40" s="563"/>
      <c r="H40" s="563"/>
      <c r="I40" s="563"/>
      <c r="J40" s="563"/>
      <c r="M40" s="252"/>
    </row>
    <row r="43" spans="1:19" x14ac:dyDescent="0.2">
      <c r="A43" s="416"/>
      <c r="B43" s="416"/>
      <c r="C43" s="416"/>
      <c r="D43" s="585" t="s">
        <v>95</v>
      </c>
      <c r="E43" s="586"/>
      <c r="F43" s="585" t="s">
        <v>5</v>
      </c>
      <c r="G43" s="586"/>
      <c r="H43" s="585" t="s">
        <v>29</v>
      </c>
      <c r="I43" s="586"/>
      <c r="J43" s="417"/>
      <c r="K43" s="416"/>
      <c r="L43" s="587" t="s">
        <v>150</v>
      </c>
      <c r="M43" s="587"/>
      <c r="N43" s="587"/>
      <c r="O43" s="587"/>
      <c r="P43" s="587"/>
      <c r="Q43" s="587"/>
      <c r="R43" s="416"/>
      <c r="S43" s="416"/>
    </row>
    <row r="44" spans="1:19" ht="15" thickBot="1" x14ac:dyDescent="0.25">
      <c r="A44" s="416"/>
      <c r="B44" s="579"/>
      <c r="C44" s="588"/>
      <c r="D44" s="418" t="s">
        <v>96</v>
      </c>
      <c r="E44" s="418" t="s">
        <v>31</v>
      </c>
      <c r="F44" s="418" t="s">
        <v>96</v>
      </c>
      <c r="G44" s="418" t="s">
        <v>31</v>
      </c>
      <c r="H44" s="418" t="s">
        <v>96</v>
      </c>
      <c r="I44" s="418" t="s">
        <v>31</v>
      </c>
      <c r="J44" s="418" t="s">
        <v>97</v>
      </c>
      <c r="K44" s="416"/>
      <c r="L44" s="416"/>
      <c r="M44" s="419"/>
      <c r="N44" s="419"/>
      <c r="O44" s="416"/>
      <c r="P44" s="420" t="s">
        <v>98</v>
      </c>
      <c r="Q44" s="416"/>
      <c r="R44" s="416"/>
      <c r="S44" s="416"/>
    </row>
    <row r="45" spans="1:19" x14ac:dyDescent="0.2">
      <c r="A45" s="416"/>
      <c r="B45" s="421" t="s">
        <v>34</v>
      </c>
      <c r="C45" s="422">
        <v>46027</v>
      </c>
      <c r="D45" s="423">
        <v>463.4</v>
      </c>
      <c r="E45" s="424">
        <v>372.9</v>
      </c>
      <c r="F45" s="425">
        <v>2081.15</v>
      </c>
      <c r="G45" s="425">
        <v>541.45000000000005</v>
      </c>
      <c r="H45" s="426">
        <v>2544.5500000000002</v>
      </c>
      <c r="I45" s="426">
        <v>914.35</v>
      </c>
      <c r="J45" s="427">
        <v>3458.9</v>
      </c>
      <c r="K45" s="416"/>
      <c r="L45" s="416"/>
      <c r="M45" s="416"/>
      <c r="N45" s="416"/>
      <c r="O45" s="416"/>
      <c r="P45" s="416"/>
      <c r="Q45" s="416"/>
      <c r="R45" s="416"/>
      <c r="S45" s="416"/>
    </row>
    <row r="46" spans="1:19" x14ac:dyDescent="0.2">
      <c r="A46" s="416"/>
      <c r="B46" s="421" t="s">
        <v>35</v>
      </c>
      <c r="C46" s="422">
        <v>46028</v>
      </c>
      <c r="D46" s="428">
        <v>913.07</v>
      </c>
      <c r="E46" s="429">
        <v>206</v>
      </c>
      <c r="F46" s="430">
        <v>1424.93</v>
      </c>
      <c r="G46" s="430">
        <v>715.2</v>
      </c>
      <c r="H46" s="431">
        <v>2338</v>
      </c>
      <c r="I46" s="431">
        <v>921.2</v>
      </c>
      <c r="J46" s="432">
        <v>3259.2</v>
      </c>
      <c r="K46" s="416"/>
      <c r="L46" s="416" t="s">
        <v>99</v>
      </c>
      <c r="M46" s="433">
        <v>46027</v>
      </c>
      <c r="N46" s="419" t="s">
        <v>100</v>
      </c>
      <c r="O46" s="416"/>
      <c r="P46" s="434">
        <v>74.5</v>
      </c>
      <c r="Q46" s="416"/>
      <c r="R46" s="416"/>
      <c r="S46" s="416"/>
    </row>
    <row r="47" spans="1:19" x14ac:dyDescent="0.2">
      <c r="A47" s="416"/>
      <c r="B47" s="421" t="s">
        <v>36</v>
      </c>
      <c r="C47" s="422">
        <v>46029</v>
      </c>
      <c r="D47" s="428">
        <v>542.84</v>
      </c>
      <c r="E47" s="429">
        <v>182.05</v>
      </c>
      <c r="F47" s="430">
        <v>2340.58</v>
      </c>
      <c r="G47" s="430">
        <v>693.05</v>
      </c>
      <c r="H47" s="435">
        <v>2883.42</v>
      </c>
      <c r="I47" s="435">
        <v>875.1</v>
      </c>
      <c r="J47" s="436">
        <v>3758.52</v>
      </c>
      <c r="K47" s="416"/>
      <c r="L47" s="416"/>
      <c r="M47" s="419"/>
      <c r="N47" s="419" t="s">
        <v>140</v>
      </c>
      <c r="O47" s="416"/>
      <c r="P47" s="434">
        <v>403</v>
      </c>
      <c r="Q47" s="416"/>
      <c r="R47" s="416"/>
      <c r="S47" s="416"/>
    </row>
    <row r="48" spans="1:19" x14ac:dyDescent="0.2">
      <c r="A48" s="416"/>
      <c r="B48" s="421" t="s">
        <v>37</v>
      </c>
      <c r="C48" s="422">
        <v>46030</v>
      </c>
      <c r="D48" s="428">
        <v>255.99</v>
      </c>
      <c r="E48" s="429">
        <v>140.1</v>
      </c>
      <c r="F48" s="430">
        <v>2380.71</v>
      </c>
      <c r="G48" s="430">
        <v>645.45000000000005</v>
      </c>
      <c r="H48" s="435">
        <v>2636.7</v>
      </c>
      <c r="I48" s="435">
        <v>785.55</v>
      </c>
      <c r="J48" s="436">
        <v>3422.25</v>
      </c>
      <c r="K48" s="416"/>
      <c r="L48" s="416"/>
      <c r="M48" s="419"/>
      <c r="N48" s="416" t="s">
        <v>101</v>
      </c>
      <c r="O48" s="416"/>
      <c r="P48" s="437">
        <v>8.1</v>
      </c>
      <c r="Q48" s="416"/>
      <c r="R48" s="416"/>
      <c r="S48" s="416"/>
    </row>
    <row r="49" spans="1:19" x14ac:dyDescent="0.2">
      <c r="A49" s="416"/>
      <c r="B49" s="421" t="s">
        <v>38</v>
      </c>
      <c r="C49" s="422">
        <v>46031</v>
      </c>
      <c r="D49" s="428">
        <v>976.94</v>
      </c>
      <c r="E49" s="429">
        <v>168.4</v>
      </c>
      <c r="F49" s="430">
        <v>4082.44</v>
      </c>
      <c r="G49" s="430">
        <v>752.25</v>
      </c>
      <c r="H49" s="435">
        <v>5059.38</v>
      </c>
      <c r="I49" s="435">
        <v>920.65</v>
      </c>
      <c r="J49" s="436">
        <v>5980.03</v>
      </c>
      <c r="K49" s="416"/>
      <c r="L49" s="416"/>
      <c r="M49" s="416"/>
      <c r="N49" s="419"/>
      <c r="O49" s="416"/>
      <c r="P49" s="416"/>
      <c r="Q49" s="416"/>
      <c r="R49" s="416"/>
      <c r="S49" s="416"/>
    </row>
    <row r="50" spans="1:19" x14ac:dyDescent="0.2">
      <c r="A50" s="416"/>
      <c r="B50" s="421" t="s">
        <v>40</v>
      </c>
      <c r="C50" s="422">
        <v>46032</v>
      </c>
      <c r="D50" s="428">
        <v>643.80999999999995</v>
      </c>
      <c r="E50" s="429">
        <v>288.35000000000002</v>
      </c>
      <c r="F50" s="430">
        <v>5045.51</v>
      </c>
      <c r="G50" s="430">
        <v>825.95</v>
      </c>
      <c r="H50" s="431">
        <v>5689.32</v>
      </c>
      <c r="I50" s="431">
        <v>1114.3</v>
      </c>
      <c r="J50" s="432">
        <v>6803.62</v>
      </c>
      <c r="K50" s="416"/>
      <c r="L50" s="416" t="s">
        <v>102</v>
      </c>
      <c r="M50" s="433">
        <v>46028</v>
      </c>
      <c r="N50" s="419" t="s">
        <v>100</v>
      </c>
      <c r="O50" s="416"/>
      <c r="P50" s="434">
        <v>68.5</v>
      </c>
      <c r="Q50" s="416"/>
      <c r="R50" s="416"/>
      <c r="S50" s="416"/>
    </row>
    <row r="51" spans="1:19" x14ac:dyDescent="0.2">
      <c r="A51" s="416"/>
      <c r="B51" s="421" t="s">
        <v>41</v>
      </c>
      <c r="C51" s="422">
        <v>46033</v>
      </c>
      <c r="D51" s="428">
        <v>1075.1099999999999</v>
      </c>
      <c r="E51" s="429">
        <v>487.65</v>
      </c>
      <c r="F51" s="430">
        <v>3013.72</v>
      </c>
      <c r="G51" s="430">
        <v>1109.8499999999999</v>
      </c>
      <c r="H51" s="431">
        <v>4088.83</v>
      </c>
      <c r="I51" s="431">
        <v>1597.5</v>
      </c>
      <c r="J51" s="432">
        <v>5686.33</v>
      </c>
      <c r="K51" s="416"/>
      <c r="L51" s="416"/>
      <c r="M51" s="416"/>
      <c r="N51" s="419" t="s">
        <v>154</v>
      </c>
      <c r="O51" s="416"/>
      <c r="P51" s="434">
        <v>62.5</v>
      </c>
      <c r="Q51" s="416"/>
      <c r="R51" s="416"/>
      <c r="S51" s="416"/>
    </row>
    <row r="52" spans="1:19" ht="15" thickBot="1" x14ac:dyDescent="0.25">
      <c r="A52" s="416"/>
      <c r="B52" s="579"/>
      <c r="C52" s="580"/>
      <c r="D52" s="438">
        <v>4871.16</v>
      </c>
      <c r="E52" s="439">
        <v>1845.45</v>
      </c>
      <c r="F52" s="439">
        <v>20369.04</v>
      </c>
      <c r="G52" s="439">
        <v>5283.2</v>
      </c>
      <c r="H52" s="440">
        <v>25240.2</v>
      </c>
      <c r="I52" s="441">
        <v>7128.65</v>
      </c>
      <c r="J52" s="442">
        <v>32368.85</v>
      </c>
      <c r="K52" s="416"/>
      <c r="L52" s="416"/>
      <c r="M52" s="416"/>
      <c r="N52" s="419" t="s">
        <v>101</v>
      </c>
      <c r="O52" s="416"/>
      <c r="P52" s="437">
        <v>141.65</v>
      </c>
      <c r="Q52" s="416"/>
      <c r="R52" s="416"/>
      <c r="S52" s="416"/>
    </row>
    <row r="53" spans="1:19" ht="15" thickBot="1" x14ac:dyDescent="0.25">
      <c r="A53" s="416"/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6"/>
      <c r="Q53" s="416"/>
      <c r="R53" s="416"/>
      <c r="S53" s="416"/>
    </row>
    <row r="54" spans="1:19" x14ac:dyDescent="0.2">
      <c r="A54" s="416"/>
      <c r="B54" s="581" t="s">
        <v>153</v>
      </c>
      <c r="C54" s="582"/>
      <c r="D54" s="582"/>
      <c r="E54" s="582"/>
      <c r="F54" s="416"/>
      <c r="G54" s="416"/>
      <c r="H54" s="416"/>
      <c r="I54" s="416"/>
      <c r="J54" s="416"/>
      <c r="K54" s="416"/>
      <c r="L54" s="416" t="s">
        <v>103</v>
      </c>
      <c r="M54" s="433">
        <v>46029</v>
      </c>
      <c r="N54" s="419" t="s">
        <v>100</v>
      </c>
      <c r="O54" s="443"/>
      <c r="P54" s="434">
        <v>78</v>
      </c>
      <c r="Q54" s="416"/>
      <c r="R54" s="416"/>
      <c r="S54" s="416"/>
    </row>
    <row r="55" spans="1:19" x14ac:dyDescent="0.2">
      <c r="A55" s="416"/>
      <c r="B55" s="444"/>
      <c r="C55" s="445" t="s">
        <v>50</v>
      </c>
      <c r="D55" s="445" t="s">
        <v>51</v>
      </c>
      <c r="E55" s="446" t="s">
        <v>104</v>
      </c>
      <c r="F55" s="416"/>
      <c r="G55" s="416"/>
      <c r="H55" s="416"/>
      <c r="I55" s="416"/>
      <c r="J55" s="416"/>
      <c r="K55" s="416"/>
      <c r="L55" s="416"/>
      <c r="M55" s="419"/>
      <c r="N55" s="419" t="s">
        <v>101</v>
      </c>
      <c r="O55" s="416"/>
      <c r="P55" s="437">
        <v>71</v>
      </c>
      <c r="Q55" s="416"/>
      <c r="R55" s="416"/>
      <c r="S55" s="416"/>
    </row>
    <row r="56" spans="1:19" x14ac:dyDescent="0.2">
      <c r="A56" s="416"/>
      <c r="B56" s="447"/>
      <c r="C56" s="448"/>
      <c r="D56" s="450"/>
      <c r="E56" s="451"/>
      <c r="F56" s="416"/>
      <c r="G56" s="416"/>
      <c r="H56" s="416"/>
      <c r="I56" s="416"/>
      <c r="J56" s="416"/>
      <c r="K56" s="416"/>
      <c r="L56" s="416"/>
      <c r="M56" s="416"/>
      <c r="N56" s="419" t="s">
        <v>142</v>
      </c>
      <c r="O56" s="416"/>
      <c r="P56" s="437">
        <v>24</v>
      </c>
      <c r="Q56" s="416"/>
      <c r="R56" s="416"/>
      <c r="S56" s="416"/>
    </row>
    <row r="57" spans="1:19" x14ac:dyDescent="0.2">
      <c r="A57" s="416"/>
      <c r="B57" s="452" t="s">
        <v>54</v>
      </c>
      <c r="C57" s="448">
        <v>250</v>
      </c>
      <c r="D57" s="450"/>
      <c r="E57" s="451"/>
      <c r="F57" s="416"/>
      <c r="G57" s="565"/>
      <c r="H57" s="565"/>
      <c r="I57" s="271"/>
      <c r="J57" s="416"/>
      <c r="K57" s="416"/>
      <c r="L57" s="416"/>
      <c r="M57" s="416"/>
      <c r="N57" s="419" t="s">
        <v>142</v>
      </c>
      <c r="O57" s="416"/>
      <c r="P57" s="416"/>
      <c r="Q57" s="416"/>
      <c r="R57" s="416"/>
      <c r="S57" s="416"/>
    </row>
    <row r="58" spans="1:19" x14ac:dyDescent="0.2">
      <c r="A58" s="416"/>
      <c r="B58" s="452" t="s">
        <v>55</v>
      </c>
      <c r="C58" s="448">
        <v>1250</v>
      </c>
      <c r="D58" s="450">
        <v>962</v>
      </c>
      <c r="E58" s="451"/>
      <c r="F58" s="416"/>
      <c r="G58" s="565"/>
      <c r="H58" s="565"/>
      <c r="I58" s="271"/>
      <c r="J58" s="416"/>
      <c r="K58" s="416"/>
      <c r="L58" s="416"/>
      <c r="M58" s="416"/>
      <c r="N58" s="419" t="s">
        <v>143</v>
      </c>
      <c r="O58" s="416"/>
      <c r="P58" s="416"/>
      <c r="Q58" s="416"/>
      <c r="R58" s="416"/>
      <c r="S58" s="416"/>
    </row>
    <row r="59" spans="1:19" x14ac:dyDescent="0.2">
      <c r="A59" s="416"/>
      <c r="B59" s="453" t="s">
        <v>56</v>
      </c>
      <c r="C59" s="448">
        <v>1200</v>
      </c>
      <c r="D59" s="450"/>
      <c r="E59" s="451"/>
      <c r="F59" s="416"/>
      <c r="G59" s="416"/>
      <c r="H59" s="416"/>
      <c r="I59" s="416"/>
      <c r="J59" s="416"/>
      <c r="K59" s="416"/>
      <c r="L59" s="416"/>
      <c r="M59" s="416"/>
      <c r="N59" s="419" t="s">
        <v>174</v>
      </c>
      <c r="O59" s="416"/>
      <c r="P59" s="416"/>
      <c r="Q59" s="416"/>
      <c r="R59" s="416"/>
      <c r="S59" s="416"/>
    </row>
    <row r="60" spans="1:19" ht="15" thickBot="1" x14ac:dyDescent="0.25">
      <c r="A60" s="416"/>
      <c r="B60" s="454" t="s">
        <v>58</v>
      </c>
      <c r="C60" s="448">
        <v>1075</v>
      </c>
      <c r="D60" s="450">
        <v>1145</v>
      </c>
      <c r="E60" s="451"/>
      <c r="F60" s="416"/>
      <c r="G60" s="583"/>
      <c r="H60" s="584"/>
      <c r="I60" s="271"/>
      <c r="J60" s="455"/>
      <c r="K60" s="416"/>
      <c r="L60" s="416"/>
      <c r="M60" s="416"/>
      <c r="N60" s="416"/>
      <c r="O60" s="416"/>
      <c r="P60" s="416"/>
      <c r="Q60" s="416"/>
      <c r="R60" s="416"/>
      <c r="S60" s="416"/>
    </row>
    <row r="61" spans="1:19" x14ac:dyDescent="0.2">
      <c r="A61" s="416"/>
      <c r="B61" s="453" t="s">
        <v>61</v>
      </c>
      <c r="C61" s="448">
        <v>960</v>
      </c>
      <c r="D61" s="450"/>
      <c r="E61" s="451"/>
      <c r="F61" s="416"/>
      <c r="G61" s="571" t="s">
        <v>151</v>
      </c>
      <c r="H61" s="572"/>
      <c r="I61" s="456">
        <v>250</v>
      </c>
      <c r="J61" s="457" t="s">
        <v>152</v>
      </c>
      <c r="K61" s="416"/>
      <c r="L61" s="416" t="s">
        <v>105</v>
      </c>
      <c r="M61" s="433">
        <v>46030</v>
      </c>
      <c r="N61" s="419" t="s">
        <v>100</v>
      </c>
      <c r="O61" s="416"/>
      <c r="P61" s="434">
        <v>75.5</v>
      </c>
      <c r="Q61" s="416"/>
      <c r="R61" s="416"/>
      <c r="S61" s="416"/>
    </row>
    <row r="62" spans="1:19" x14ac:dyDescent="0.2">
      <c r="A62" s="416"/>
      <c r="B62" s="454" t="s">
        <v>63</v>
      </c>
      <c r="C62" s="448">
        <v>580</v>
      </c>
      <c r="D62" s="450">
        <v>250</v>
      </c>
      <c r="E62" s="455"/>
      <c r="F62" s="416"/>
      <c r="G62" s="564" t="s">
        <v>106</v>
      </c>
      <c r="H62" s="565"/>
      <c r="I62" s="458">
        <v>380</v>
      </c>
      <c r="J62" s="459">
        <v>46113</v>
      </c>
      <c r="K62" s="416"/>
      <c r="L62" s="416"/>
      <c r="M62" s="416"/>
      <c r="N62" s="460" t="s">
        <v>101</v>
      </c>
      <c r="O62" s="416"/>
      <c r="P62" s="437">
        <v>16.7</v>
      </c>
      <c r="Q62" s="416"/>
      <c r="R62" s="416"/>
      <c r="S62" s="416"/>
    </row>
    <row r="63" spans="1:19" x14ac:dyDescent="0.2">
      <c r="A63" s="416"/>
      <c r="B63" s="452" t="s">
        <v>65</v>
      </c>
      <c r="C63" s="448">
        <v>230</v>
      </c>
      <c r="D63" s="450"/>
      <c r="E63" s="451"/>
      <c r="F63" s="416"/>
      <c r="G63" s="461" t="s">
        <v>108</v>
      </c>
      <c r="H63" s="416"/>
      <c r="I63" s="462">
        <v>7128.65</v>
      </c>
      <c r="J63" s="463"/>
      <c r="K63" s="416"/>
      <c r="L63" s="416"/>
      <c r="M63" s="416"/>
      <c r="N63" s="419"/>
      <c r="O63" s="416"/>
      <c r="P63" s="416"/>
      <c r="Q63" s="416"/>
      <c r="R63" s="416"/>
      <c r="S63" s="416"/>
    </row>
    <row r="64" spans="1:19" x14ac:dyDescent="0.2">
      <c r="A64" s="416"/>
      <c r="B64" s="454" t="s">
        <v>159</v>
      </c>
      <c r="C64" s="448">
        <v>160</v>
      </c>
      <c r="D64" s="450"/>
      <c r="E64" s="451"/>
      <c r="F64" s="416"/>
      <c r="G64" s="461" t="s">
        <v>109</v>
      </c>
      <c r="H64" s="416"/>
      <c r="I64" s="464">
        <v>1000</v>
      </c>
      <c r="J64" s="465"/>
      <c r="K64" s="460"/>
      <c r="L64" s="416"/>
      <c r="M64" s="416"/>
      <c r="N64" s="419"/>
      <c r="O64" s="416"/>
      <c r="P64" s="416"/>
      <c r="Q64" s="416"/>
      <c r="R64" s="416"/>
      <c r="S64" s="416"/>
    </row>
    <row r="65" spans="1:19" x14ac:dyDescent="0.2">
      <c r="A65" s="416"/>
      <c r="B65" s="454" t="s">
        <v>67</v>
      </c>
      <c r="C65" s="448">
        <v>120</v>
      </c>
      <c r="D65" s="450"/>
      <c r="E65" s="451"/>
      <c r="F65" s="416"/>
      <c r="G65" s="564"/>
      <c r="H65" s="565"/>
      <c r="I65" s="271"/>
      <c r="J65" s="463"/>
      <c r="K65" s="416"/>
      <c r="L65" s="416" t="s">
        <v>107</v>
      </c>
      <c r="M65" s="433">
        <v>46031</v>
      </c>
      <c r="N65" s="419" t="s">
        <v>100</v>
      </c>
      <c r="O65" s="416"/>
      <c r="P65" s="434">
        <v>88.5</v>
      </c>
      <c r="Q65" s="416"/>
      <c r="R65" s="416"/>
      <c r="S65" s="416"/>
    </row>
    <row r="66" spans="1:19" x14ac:dyDescent="0.2">
      <c r="A66" s="416"/>
      <c r="B66" s="454" t="s">
        <v>68</v>
      </c>
      <c r="C66" s="448">
        <v>360</v>
      </c>
      <c r="D66" s="450"/>
      <c r="E66" s="451"/>
      <c r="F66" s="416"/>
      <c r="G66" s="461"/>
      <c r="H66" s="449" t="s">
        <v>110</v>
      </c>
      <c r="I66" s="466">
        <v>8758.65</v>
      </c>
      <c r="J66" s="463"/>
      <c r="K66" s="416"/>
      <c r="L66" s="416"/>
      <c r="M66" s="416"/>
      <c r="N66" s="419" t="s">
        <v>101</v>
      </c>
      <c r="O66" s="416"/>
      <c r="P66" s="437">
        <v>173.85</v>
      </c>
      <c r="Q66" s="416"/>
      <c r="R66" s="416"/>
      <c r="S66" s="416"/>
    </row>
    <row r="67" spans="1:19" x14ac:dyDescent="0.2">
      <c r="A67" s="416"/>
      <c r="B67" s="453" t="s">
        <v>69</v>
      </c>
      <c r="C67" s="448">
        <v>1070</v>
      </c>
      <c r="D67" s="450">
        <v>800</v>
      </c>
      <c r="E67" s="451"/>
      <c r="F67" s="416"/>
      <c r="G67" s="461"/>
      <c r="H67" s="449"/>
      <c r="I67" s="449"/>
      <c r="J67" s="463"/>
      <c r="K67" s="416"/>
      <c r="L67" s="416"/>
      <c r="M67" s="460"/>
      <c r="N67" s="467"/>
      <c r="O67" s="460"/>
      <c r="P67" s="448"/>
      <c r="Q67" s="460"/>
      <c r="R67" s="460"/>
      <c r="S67" s="416"/>
    </row>
    <row r="68" spans="1:19" x14ac:dyDescent="0.2">
      <c r="A68" s="416"/>
      <c r="B68" s="453" t="s">
        <v>70</v>
      </c>
      <c r="C68" s="448">
        <v>400</v>
      </c>
      <c r="D68" s="450"/>
      <c r="E68" s="451"/>
      <c r="F68" s="416"/>
      <c r="G68" s="461"/>
      <c r="H68" s="416"/>
      <c r="I68" s="416"/>
      <c r="J68" s="463"/>
      <c r="K68" s="416"/>
      <c r="L68" s="416"/>
      <c r="M68" s="416"/>
      <c r="N68" s="416"/>
      <c r="O68" s="416"/>
      <c r="P68" s="416"/>
      <c r="Q68" s="416"/>
      <c r="R68" s="416"/>
      <c r="S68" s="416"/>
    </row>
    <row r="69" spans="1:19" x14ac:dyDescent="0.2">
      <c r="A69" s="416"/>
      <c r="B69" s="453" t="s">
        <v>71</v>
      </c>
      <c r="C69" s="448">
        <v>400</v>
      </c>
      <c r="D69" s="450"/>
      <c r="E69" s="451"/>
      <c r="F69" s="416"/>
      <c r="G69" s="276"/>
      <c r="H69" s="285"/>
      <c r="I69" s="285"/>
      <c r="J69" s="463"/>
      <c r="K69" s="416"/>
      <c r="L69" s="416" t="s">
        <v>111</v>
      </c>
      <c r="M69" s="433">
        <v>46032</v>
      </c>
      <c r="N69" s="419" t="s">
        <v>100</v>
      </c>
      <c r="O69" s="416"/>
      <c r="P69" s="434">
        <v>101.5</v>
      </c>
      <c r="Q69" s="416"/>
      <c r="R69" s="416"/>
      <c r="S69" s="416"/>
    </row>
    <row r="70" spans="1:19" x14ac:dyDescent="0.2">
      <c r="A70" s="416"/>
      <c r="B70" s="453" t="s">
        <v>72</v>
      </c>
      <c r="C70" s="448">
        <v>560</v>
      </c>
      <c r="D70" s="450">
        <v>250</v>
      </c>
      <c r="E70" s="451"/>
      <c r="F70" s="416"/>
      <c r="G70" s="564"/>
      <c r="H70" s="565"/>
      <c r="I70" s="271"/>
      <c r="J70" s="463"/>
      <c r="K70" s="416"/>
      <c r="L70" s="416"/>
      <c r="M70" s="416"/>
      <c r="N70" s="419" t="s">
        <v>101</v>
      </c>
      <c r="O70" s="416"/>
      <c r="P70" s="437">
        <v>18</v>
      </c>
      <c r="Q70" s="576"/>
      <c r="R70" s="576"/>
      <c r="S70" s="576"/>
    </row>
    <row r="71" spans="1:19" x14ac:dyDescent="0.2">
      <c r="A71" s="416"/>
      <c r="B71" s="453" t="s">
        <v>74</v>
      </c>
      <c r="C71" s="448">
        <v>624</v>
      </c>
      <c r="D71" s="450"/>
      <c r="E71" s="451"/>
      <c r="F71" s="416"/>
      <c r="G71" s="276" t="s">
        <v>112</v>
      </c>
      <c r="H71" s="416"/>
      <c r="I71" s="458">
        <v>70</v>
      </c>
      <c r="J71" s="459">
        <v>46327</v>
      </c>
      <c r="K71" s="416"/>
      <c r="L71" s="416"/>
      <c r="M71" s="416"/>
      <c r="N71" s="419" t="s">
        <v>155</v>
      </c>
      <c r="O71" s="416"/>
      <c r="P71" s="437">
        <v>31</v>
      </c>
      <c r="Q71" s="416"/>
      <c r="R71" s="416"/>
      <c r="S71" s="416"/>
    </row>
    <row r="72" spans="1:19" x14ac:dyDescent="0.2">
      <c r="A72" s="416"/>
      <c r="B72" s="453" t="s">
        <v>75</v>
      </c>
      <c r="C72" s="448">
        <v>100</v>
      </c>
      <c r="D72" s="450"/>
      <c r="E72" s="451"/>
      <c r="F72" s="416"/>
      <c r="G72" s="461" t="s">
        <v>113</v>
      </c>
      <c r="H72" s="416"/>
      <c r="I72" s="469">
        <v>1621.74</v>
      </c>
      <c r="J72" s="463"/>
      <c r="K72" s="416"/>
      <c r="L72" s="416"/>
      <c r="M72" s="416"/>
      <c r="N72" s="419" t="s">
        <v>145</v>
      </c>
      <c r="O72" s="416"/>
      <c r="P72" s="416"/>
      <c r="Q72" s="416"/>
      <c r="R72" s="416"/>
      <c r="S72" s="416"/>
    </row>
    <row r="73" spans="1:19" x14ac:dyDescent="0.2">
      <c r="A73" s="416"/>
      <c r="B73" s="453" t="s">
        <v>78</v>
      </c>
      <c r="C73" s="448">
        <v>100</v>
      </c>
      <c r="D73" s="450"/>
      <c r="E73" s="451"/>
      <c r="F73" s="416"/>
      <c r="G73" s="461" t="s">
        <v>114</v>
      </c>
      <c r="H73" s="416"/>
      <c r="I73" s="470">
        <v>6616</v>
      </c>
      <c r="J73" s="463"/>
      <c r="K73" s="416"/>
      <c r="L73" s="416"/>
      <c r="M73" s="416"/>
      <c r="N73" s="419" t="s">
        <v>156</v>
      </c>
      <c r="O73" s="416"/>
      <c r="P73" s="437">
        <v>14.78</v>
      </c>
      <c r="Q73" s="416"/>
      <c r="R73" s="416"/>
      <c r="S73" s="416"/>
    </row>
    <row r="74" spans="1:19" x14ac:dyDescent="0.2">
      <c r="A74" s="416"/>
      <c r="B74" s="453" t="s">
        <v>79</v>
      </c>
      <c r="C74" s="448">
        <v>584</v>
      </c>
      <c r="D74" s="450"/>
      <c r="E74" s="451"/>
      <c r="F74" s="416"/>
      <c r="G74" s="461"/>
      <c r="H74" s="416"/>
      <c r="I74" s="416"/>
      <c r="J74" s="463"/>
      <c r="K74" s="416"/>
      <c r="L74" s="416"/>
      <c r="M74" s="416"/>
      <c r="N74" s="419"/>
      <c r="O74" s="416"/>
      <c r="P74" s="416"/>
      <c r="Q74" s="576"/>
      <c r="R74" s="576"/>
      <c r="S74" s="576"/>
    </row>
    <row r="75" spans="1:19" x14ac:dyDescent="0.2">
      <c r="A75" s="416"/>
      <c r="B75" s="453"/>
      <c r="C75" s="448"/>
      <c r="D75" s="450"/>
      <c r="E75" s="451"/>
      <c r="F75" s="416"/>
      <c r="G75" s="461"/>
      <c r="H75" s="449" t="s">
        <v>115</v>
      </c>
      <c r="I75" s="466">
        <v>8307.74</v>
      </c>
      <c r="J75" s="463"/>
      <c r="K75" s="416"/>
      <c r="L75" s="416"/>
      <c r="M75" s="416"/>
      <c r="N75" s="419"/>
      <c r="O75" s="416"/>
      <c r="P75" s="416"/>
      <c r="Q75" s="416"/>
      <c r="R75" s="416"/>
      <c r="S75" s="416"/>
    </row>
    <row r="76" spans="1:19" x14ac:dyDescent="0.2">
      <c r="A76" s="416"/>
      <c r="B76" s="471"/>
      <c r="C76" s="448"/>
      <c r="D76" s="468"/>
      <c r="E76" s="455"/>
      <c r="F76" s="416"/>
      <c r="G76" s="461"/>
      <c r="H76" s="416"/>
      <c r="I76" s="416"/>
      <c r="J76" s="463"/>
      <c r="K76" s="416" t="s">
        <v>116</v>
      </c>
      <c r="L76" s="416" t="s">
        <v>118</v>
      </c>
      <c r="M76" s="433">
        <v>46033</v>
      </c>
      <c r="N76" s="419" t="s">
        <v>100</v>
      </c>
      <c r="O76" s="416"/>
      <c r="P76" s="434">
        <v>74.5</v>
      </c>
      <c r="Q76" s="416"/>
      <c r="R76" s="416"/>
      <c r="S76" s="416"/>
    </row>
    <row r="77" spans="1:19" x14ac:dyDescent="0.2">
      <c r="A77" s="416"/>
      <c r="B77" s="471"/>
      <c r="C77" s="448"/>
      <c r="D77" s="468"/>
      <c r="E77" s="455"/>
      <c r="F77" s="416"/>
      <c r="G77" s="472" t="s">
        <v>117</v>
      </c>
      <c r="H77" s="473"/>
      <c r="I77" s="474">
        <v>450.91</v>
      </c>
      <c r="J77" s="475"/>
      <c r="K77" s="416"/>
      <c r="L77" s="416"/>
      <c r="M77" s="416"/>
      <c r="N77" s="419" t="s">
        <v>157</v>
      </c>
      <c r="O77" s="416"/>
      <c r="P77" s="437">
        <v>22.56</v>
      </c>
      <c r="Q77" s="416"/>
      <c r="R77" s="416"/>
      <c r="S77" s="416"/>
    </row>
    <row r="78" spans="1:19" x14ac:dyDescent="0.2">
      <c r="A78" s="416"/>
      <c r="B78" s="471"/>
      <c r="C78" s="468"/>
      <c r="D78" s="468"/>
      <c r="E78" s="455"/>
      <c r="F78" s="416"/>
      <c r="G78" s="461"/>
      <c r="H78" s="416"/>
      <c r="I78" s="416"/>
      <c r="J78" s="463"/>
      <c r="K78" s="416"/>
      <c r="L78" s="416"/>
      <c r="M78" s="416"/>
      <c r="N78" s="419" t="s">
        <v>101</v>
      </c>
      <c r="O78" s="416"/>
      <c r="P78" s="416">
        <v>33</v>
      </c>
      <c r="Q78" s="416"/>
      <c r="R78" s="416"/>
      <c r="S78" s="416"/>
    </row>
    <row r="79" spans="1:19" x14ac:dyDescent="0.2">
      <c r="A79" s="416"/>
      <c r="B79" s="471"/>
      <c r="C79" s="468"/>
      <c r="D79" s="468"/>
      <c r="E79" s="455"/>
      <c r="F79" s="416"/>
      <c r="G79" s="471" t="s">
        <v>119</v>
      </c>
      <c r="H79" s="416"/>
      <c r="I79" s="466">
        <v>450.85</v>
      </c>
      <c r="J79" s="463"/>
      <c r="K79" s="416"/>
      <c r="L79" s="416"/>
      <c r="M79" s="416"/>
      <c r="N79" s="419" t="s">
        <v>158</v>
      </c>
      <c r="O79" s="416"/>
      <c r="P79" s="437">
        <v>0.6</v>
      </c>
      <c r="Q79" s="416"/>
      <c r="R79" s="416"/>
      <c r="S79" s="416"/>
    </row>
    <row r="80" spans="1:19" ht="15" thickBot="1" x14ac:dyDescent="0.25">
      <c r="A80" s="416"/>
      <c r="B80" s="476" t="s">
        <v>120</v>
      </c>
      <c r="C80" s="477">
        <v>10023</v>
      </c>
      <c r="D80" s="478"/>
      <c r="E80" s="479"/>
      <c r="F80" s="416"/>
      <c r="G80" s="480"/>
      <c r="H80" s="481"/>
      <c r="I80" s="577"/>
      <c r="J80" s="577"/>
      <c r="K80" s="416"/>
      <c r="L80" s="416"/>
      <c r="M80" s="419"/>
      <c r="N80" s="419" t="s">
        <v>163</v>
      </c>
      <c r="O80" s="416"/>
      <c r="P80" s="434">
        <v>40</v>
      </c>
      <c r="Q80" s="416"/>
      <c r="R80" s="416"/>
      <c r="S80" s="416"/>
    </row>
    <row r="81" spans="1:19" x14ac:dyDescent="0.2">
      <c r="A81" s="416"/>
      <c r="B81" s="453" t="s">
        <v>121</v>
      </c>
      <c r="C81" s="448">
        <v>3407</v>
      </c>
      <c r="D81" s="460"/>
      <c r="E81" s="465"/>
      <c r="F81" s="416"/>
      <c r="G81" s="416"/>
      <c r="H81" s="416"/>
      <c r="I81" s="416"/>
      <c r="J81" s="416"/>
      <c r="K81" s="416"/>
      <c r="L81" s="416" t="s">
        <v>116</v>
      </c>
      <c r="M81" s="419"/>
      <c r="N81" s="482" t="s">
        <v>122</v>
      </c>
      <c r="O81" s="416"/>
      <c r="P81" s="483">
        <v>1621.74</v>
      </c>
      <c r="Q81" s="416"/>
      <c r="R81" s="416"/>
      <c r="S81" s="416"/>
    </row>
    <row r="82" spans="1:19" ht="15" thickBot="1" x14ac:dyDescent="0.25">
      <c r="A82" s="416"/>
      <c r="B82" s="484" t="s">
        <v>123</v>
      </c>
      <c r="C82" s="485">
        <v>6616</v>
      </c>
      <c r="D82" s="486"/>
      <c r="E82" s="487"/>
      <c r="F82" s="416"/>
      <c r="G82" s="578"/>
      <c r="H82" s="578"/>
      <c r="I82" s="578"/>
      <c r="J82" s="578"/>
      <c r="K82" s="416"/>
      <c r="L82" s="416"/>
      <c r="M82" s="419"/>
      <c r="N82" s="416"/>
      <c r="O82" s="416"/>
      <c r="P82" s="416"/>
      <c r="Q82" s="416"/>
      <c r="R82" s="416"/>
      <c r="S82" s="416"/>
    </row>
    <row r="87" spans="1:19" ht="15" customHeight="1" x14ac:dyDescent="0.2">
      <c r="C87" s="249"/>
      <c r="D87" s="573" t="s">
        <v>95</v>
      </c>
      <c r="E87" s="573"/>
      <c r="F87" s="573" t="s">
        <v>5</v>
      </c>
      <c r="G87" s="573"/>
      <c r="H87" s="573" t="s">
        <v>29</v>
      </c>
      <c r="I87" s="573"/>
      <c r="J87" s="250"/>
      <c r="L87" s="574" t="s">
        <v>167</v>
      </c>
      <c r="M87" s="574"/>
      <c r="N87" s="574"/>
      <c r="O87" s="574"/>
      <c r="P87" s="574"/>
      <c r="Q87" s="574"/>
    </row>
    <row r="88" spans="1:19" ht="15" customHeight="1" thickBot="1" x14ac:dyDescent="0.25">
      <c r="B88" s="566"/>
      <c r="C88" s="575"/>
      <c r="D88" s="311" t="s">
        <v>96</v>
      </c>
      <c r="E88" s="311" t="s">
        <v>31</v>
      </c>
      <c r="F88" s="311" t="s">
        <v>96</v>
      </c>
      <c r="G88" s="311" t="s">
        <v>31</v>
      </c>
      <c r="H88" s="311" t="s">
        <v>96</v>
      </c>
      <c r="I88" s="311" t="s">
        <v>31</v>
      </c>
      <c r="J88" s="311" t="s">
        <v>97</v>
      </c>
      <c r="M88" s="252"/>
      <c r="N88" s="252"/>
      <c r="P88" s="253" t="s">
        <v>98</v>
      </c>
    </row>
    <row r="89" spans="1:19" ht="15" customHeight="1" x14ac:dyDescent="0.2">
      <c r="B89" s="251" t="s">
        <v>34</v>
      </c>
      <c r="C89" s="254">
        <v>46034</v>
      </c>
      <c r="D89" s="312">
        <v>611.76</v>
      </c>
      <c r="E89" s="255">
        <v>67.600000000000065</v>
      </c>
      <c r="F89" s="256">
        <v>1870.2400000000002</v>
      </c>
      <c r="G89" s="256">
        <v>603.24999999999977</v>
      </c>
      <c r="H89" s="313">
        <v>2482</v>
      </c>
      <c r="I89" s="313">
        <v>670.8499999999998</v>
      </c>
      <c r="J89" s="314">
        <v>3152.85</v>
      </c>
    </row>
    <row r="90" spans="1:19" ht="15" customHeight="1" x14ac:dyDescent="0.2">
      <c r="B90" s="251" t="s">
        <v>35</v>
      </c>
      <c r="C90" s="254">
        <v>46035</v>
      </c>
      <c r="D90" s="315">
        <v>360.46000000000004</v>
      </c>
      <c r="E90" s="68">
        <v>308.54999999999995</v>
      </c>
      <c r="F90" s="69">
        <v>1678.3700000000001</v>
      </c>
      <c r="G90" s="69">
        <v>708.05000000000007</v>
      </c>
      <c r="H90" s="257">
        <v>2038.8300000000002</v>
      </c>
      <c r="I90" s="257">
        <v>1016.6</v>
      </c>
      <c r="J90" s="316">
        <v>3055.4300000000003</v>
      </c>
      <c r="L90" t="s">
        <v>99</v>
      </c>
      <c r="M90" s="258">
        <v>46034</v>
      </c>
      <c r="N90" s="252" t="s">
        <v>100</v>
      </c>
      <c r="P90" s="259">
        <v>78.5</v>
      </c>
    </row>
    <row r="91" spans="1:19" ht="15" customHeight="1" x14ac:dyDescent="0.2">
      <c r="B91" s="251" t="s">
        <v>36</v>
      </c>
      <c r="C91" s="254">
        <v>46036</v>
      </c>
      <c r="D91" s="315">
        <v>501.51</v>
      </c>
      <c r="E91" s="68">
        <v>90</v>
      </c>
      <c r="F91" s="69">
        <v>2625.67</v>
      </c>
      <c r="G91" s="69">
        <v>315.19999999999982</v>
      </c>
      <c r="H91" s="260">
        <v>3127.1800000000003</v>
      </c>
      <c r="I91" s="260">
        <v>405.19999999999982</v>
      </c>
      <c r="J91" s="317">
        <v>3532.38</v>
      </c>
      <c r="M91" s="252"/>
      <c r="N91" s="252" t="s">
        <v>170</v>
      </c>
      <c r="P91" s="259">
        <v>11.25</v>
      </c>
    </row>
    <row r="92" spans="1:19" ht="15" customHeight="1" x14ac:dyDescent="0.2">
      <c r="B92" s="251" t="s">
        <v>37</v>
      </c>
      <c r="C92" s="254">
        <v>46037</v>
      </c>
      <c r="D92" s="315">
        <v>523.96</v>
      </c>
      <c r="E92" s="68">
        <v>430.94999999999993</v>
      </c>
      <c r="F92" s="69">
        <v>1893.61</v>
      </c>
      <c r="G92" s="69">
        <v>1163.2500000000002</v>
      </c>
      <c r="H92" s="260">
        <v>2417.5699999999997</v>
      </c>
      <c r="I92" s="260">
        <v>1594.2000000000003</v>
      </c>
      <c r="J92" s="317">
        <v>4011.77</v>
      </c>
      <c r="M92" s="252"/>
      <c r="N92" t="s">
        <v>101</v>
      </c>
      <c r="P92" s="261"/>
    </row>
    <row r="93" spans="1:19" ht="15" customHeight="1" x14ac:dyDescent="0.2">
      <c r="B93" s="251" t="s">
        <v>38</v>
      </c>
      <c r="C93" s="254">
        <v>46038</v>
      </c>
      <c r="D93" s="315">
        <v>801.08999999999992</v>
      </c>
      <c r="E93" s="68">
        <v>333.90000000000003</v>
      </c>
      <c r="F93" s="69">
        <v>3265.8500000000004</v>
      </c>
      <c r="G93" s="69">
        <v>1056.9500000000003</v>
      </c>
      <c r="H93" s="260">
        <v>4066.9400000000005</v>
      </c>
      <c r="I93" s="260">
        <v>1390.8500000000004</v>
      </c>
      <c r="J93" s="317">
        <v>5457.7900000000009</v>
      </c>
      <c r="N93" s="252"/>
      <c r="P93" s="261"/>
    </row>
    <row r="94" spans="1:19" ht="15" customHeight="1" x14ac:dyDescent="0.2">
      <c r="B94" s="251" t="s">
        <v>40</v>
      </c>
      <c r="C94" s="254">
        <v>46039</v>
      </c>
      <c r="D94" s="315">
        <v>1166.4100000000001</v>
      </c>
      <c r="E94" s="68">
        <v>40.299999999999955</v>
      </c>
      <c r="F94" s="69">
        <v>4029.67</v>
      </c>
      <c r="G94" s="69">
        <v>1171.7500000000002</v>
      </c>
      <c r="H94" s="257">
        <v>5196.08</v>
      </c>
      <c r="I94" s="257">
        <v>1212.0500000000002</v>
      </c>
      <c r="J94" s="316">
        <v>6408.13</v>
      </c>
      <c r="L94" t="s">
        <v>102</v>
      </c>
      <c r="M94" s="258">
        <v>46035</v>
      </c>
      <c r="N94" s="252" t="s">
        <v>100</v>
      </c>
      <c r="P94" s="259">
        <v>68.5</v>
      </c>
    </row>
    <row r="95" spans="1:19" ht="15" customHeight="1" x14ac:dyDescent="0.2">
      <c r="B95" s="251" t="s">
        <v>41</v>
      </c>
      <c r="C95" s="254">
        <v>46040</v>
      </c>
      <c r="D95" s="315">
        <v>688.53</v>
      </c>
      <c r="E95" s="68">
        <v>256.21000000000004</v>
      </c>
      <c r="F95" s="69">
        <v>2187.5</v>
      </c>
      <c r="G95" s="69">
        <v>271.84999999999997</v>
      </c>
      <c r="H95" s="257">
        <v>2876.0299999999997</v>
      </c>
      <c r="I95" s="257">
        <v>528.05999999999995</v>
      </c>
      <c r="J95" s="316">
        <v>3404.0899999999997</v>
      </c>
      <c r="N95" s="252" t="s">
        <v>171</v>
      </c>
      <c r="P95" s="259">
        <v>271</v>
      </c>
    </row>
    <row r="96" spans="1:19" ht="15" customHeight="1" thickBot="1" x14ac:dyDescent="0.25">
      <c r="B96" s="566"/>
      <c r="C96" s="567"/>
      <c r="D96" s="318">
        <v>4653.7199999999993</v>
      </c>
      <c r="E96" s="310">
        <v>1527.51</v>
      </c>
      <c r="F96" s="310">
        <v>17550.910000000003</v>
      </c>
      <c r="G96" s="310">
        <v>5290.3000000000011</v>
      </c>
      <c r="H96" s="319">
        <v>22204.629999999997</v>
      </c>
      <c r="I96" s="320">
        <v>6817.8100000000013</v>
      </c>
      <c r="J96" s="321">
        <v>29022.440000000002</v>
      </c>
      <c r="N96" s="252"/>
      <c r="P96" s="261"/>
    </row>
    <row r="97" spans="2:18" ht="15" customHeight="1" thickBot="1" x14ac:dyDescent="0.25">
      <c r="C97" s="249"/>
    </row>
    <row r="98" spans="2:18" ht="15" customHeight="1" x14ac:dyDescent="0.2">
      <c r="B98" s="568" t="s">
        <v>168</v>
      </c>
      <c r="C98" s="569"/>
      <c r="D98" s="569"/>
      <c r="E98" s="570"/>
      <c r="L98" t="s">
        <v>103</v>
      </c>
      <c r="M98" s="258">
        <v>46036</v>
      </c>
      <c r="N98" s="252" t="s">
        <v>100</v>
      </c>
      <c r="O98" s="262"/>
      <c r="P98" s="259">
        <v>76.5</v>
      </c>
    </row>
    <row r="99" spans="2:18" ht="15" customHeight="1" x14ac:dyDescent="0.2">
      <c r="B99" s="263"/>
      <c r="C99" s="264" t="s">
        <v>50</v>
      </c>
      <c r="D99" s="264" t="s">
        <v>51</v>
      </c>
      <c r="E99" s="265" t="s">
        <v>104</v>
      </c>
      <c r="M99" s="258"/>
      <c r="N99" s="252" t="s">
        <v>101</v>
      </c>
      <c r="P99" s="261">
        <v>194.35</v>
      </c>
    </row>
    <row r="100" spans="2:18" ht="15" customHeight="1" x14ac:dyDescent="0.2">
      <c r="B100" s="266"/>
      <c r="C100" s="267"/>
      <c r="D100" s="268"/>
      <c r="E100" s="269"/>
      <c r="N100" s="252"/>
      <c r="P100" s="261"/>
    </row>
    <row r="101" spans="2:18" ht="15" customHeight="1" x14ac:dyDescent="0.2">
      <c r="B101" s="270" t="s">
        <v>54</v>
      </c>
      <c r="C101" s="267">
        <v>250</v>
      </c>
      <c r="D101" s="268"/>
      <c r="E101" s="269"/>
      <c r="G101" s="565"/>
      <c r="H101" s="565"/>
      <c r="I101" s="271"/>
      <c r="N101" s="252"/>
      <c r="P101" s="261"/>
    </row>
    <row r="102" spans="2:18" ht="15" customHeight="1" x14ac:dyDescent="0.2">
      <c r="B102" s="270" t="s">
        <v>55</v>
      </c>
      <c r="C102" s="267">
        <v>1250</v>
      </c>
      <c r="D102" s="268">
        <v>962</v>
      </c>
      <c r="E102" s="269"/>
      <c r="G102" s="565"/>
      <c r="H102" s="565"/>
      <c r="I102" s="271"/>
      <c r="N102" s="252"/>
      <c r="P102" s="261"/>
    </row>
    <row r="103" spans="2:18" ht="15" customHeight="1" thickBot="1" x14ac:dyDescent="0.25">
      <c r="B103" s="272" t="s">
        <v>56</v>
      </c>
      <c r="C103" s="267">
        <v>1200</v>
      </c>
      <c r="D103" s="268"/>
      <c r="E103" s="269"/>
      <c r="N103" s="252"/>
      <c r="P103" s="261"/>
    </row>
    <row r="104" spans="2:18" ht="15" customHeight="1" x14ac:dyDescent="0.2">
      <c r="B104" s="275" t="s">
        <v>58</v>
      </c>
      <c r="C104" s="267">
        <v>1075</v>
      </c>
      <c r="D104" s="268">
        <v>1145</v>
      </c>
      <c r="E104" s="269"/>
      <c r="G104" s="571"/>
      <c r="H104" s="572"/>
      <c r="I104" s="413"/>
      <c r="J104" s="414"/>
    </row>
    <row r="105" spans="2:18" ht="15" customHeight="1" x14ac:dyDescent="0.2">
      <c r="B105" s="272" t="s">
        <v>61</v>
      </c>
      <c r="C105" s="267">
        <v>960</v>
      </c>
      <c r="D105" s="268"/>
      <c r="E105" s="269"/>
      <c r="G105" s="564"/>
      <c r="H105" s="565"/>
      <c r="I105" s="412"/>
      <c r="J105" s="281"/>
      <c r="L105" t="s">
        <v>105</v>
      </c>
      <c r="M105" s="258">
        <v>46037</v>
      </c>
      <c r="N105" s="252" t="s">
        <v>100</v>
      </c>
      <c r="P105" s="259">
        <v>85</v>
      </c>
    </row>
    <row r="106" spans="2:18" ht="15" customHeight="1" x14ac:dyDescent="0.2">
      <c r="B106" s="275" t="s">
        <v>63</v>
      </c>
      <c r="C106" s="267">
        <v>580</v>
      </c>
      <c r="D106" s="268">
        <v>250</v>
      </c>
      <c r="E106" s="278"/>
      <c r="G106" s="564" t="s">
        <v>106</v>
      </c>
      <c r="H106" s="565"/>
      <c r="I106" s="277">
        <v>70</v>
      </c>
      <c r="J106" s="279">
        <v>46033</v>
      </c>
      <c r="N106" s="118"/>
      <c r="P106" s="261"/>
    </row>
    <row r="107" spans="2:18" ht="15" customHeight="1" x14ac:dyDescent="0.2">
      <c r="B107" s="270" t="s">
        <v>65</v>
      </c>
      <c r="C107" s="267">
        <v>230</v>
      </c>
      <c r="D107" s="268"/>
      <c r="E107" s="269"/>
      <c r="G107" s="280" t="s">
        <v>108</v>
      </c>
      <c r="I107" s="385">
        <v>6817.81</v>
      </c>
      <c r="J107" s="281"/>
      <c r="N107" s="252"/>
      <c r="P107" s="261"/>
    </row>
    <row r="108" spans="2:18" ht="15" customHeight="1" x14ac:dyDescent="0.2">
      <c r="B108" s="275" t="s">
        <v>159</v>
      </c>
      <c r="C108" s="267">
        <v>0</v>
      </c>
      <c r="D108" s="268"/>
      <c r="E108" s="269"/>
      <c r="G108" s="280" t="s">
        <v>109</v>
      </c>
      <c r="I108" s="405">
        <v>2000</v>
      </c>
      <c r="J108" s="282"/>
      <c r="K108" s="118"/>
      <c r="L108" t="s">
        <v>107</v>
      </c>
      <c r="M108" s="258">
        <v>46038</v>
      </c>
      <c r="N108" s="252" t="s">
        <v>100</v>
      </c>
      <c r="P108" s="259">
        <v>73.5</v>
      </c>
    </row>
    <row r="109" spans="2:18" ht="15" customHeight="1" x14ac:dyDescent="0.2">
      <c r="B109" s="275" t="s">
        <v>67</v>
      </c>
      <c r="C109" s="267">
        <v>120</v>
      </c>
      <c r="D109" s="268"/>
      <c r="E109" s="269"/>
      <c r="G109" s="564"/>
      <c r="H109" s="565"/>
      <c r="I109" s="271"/>
      <c r="J109" s="281"/>
      <c r="N109" s="252" t="s">
        <v>172</v>
      </c>
      <c r="P109" s="261">
        <v>6.99</v>
      </c>
    </row>
    <row r="110" spans="2:18" ht="15" customHeight="1" x14ac:dyDescent="0.2">
      <c r="B110" s="275" t="s">
        <v>68</v>
      </c>
      <c r="C110" s="267">
        <v>480</v>
      </c>
      <c r="D110" s="268"/>
      <c r="E110" s="269"/>
      <c r="G110" s="280"/>
      <c r="H110" s="283" t="s">
        <v>110</v>
      </c>
      <c r="I110" s="284">
        <f>SUM(I104:I109)</f>
        <v>8887.8100000000013</v>
      </c>
      <c r="J110" s="281"/>
      <c r="M110" s="118"/>
      <c r="N110" s="393" t="s">
        <v>101</v>
      </c>
      <c r="O110" s="118"/>
      <c r="P110" s="394">
        <v>162.15</v>
      </c>
    </row>
    <row r="111" spans="2:18" ht="15" customHeight="1" x14ac:dyDescent="0.2">
      <c r="B111" s="272" t="s">
        <v>69</v>
      </c>
      <c r="C111" s="267">
        <v>1070</v>
      </c>
      <c r="D111" s="268">
        <v>800</v>
      </c>
      <c r="E111" s="269"/>
      <c r="G111" s="280"/>
      <c r="H111" s="283"/>
      <c r="I111" s="283"/>
      <c r="J111" s="281"/>
      <c r="N111" s="252" t="s">
        <v>101</v>
      </c>
      <c r="P111" s="415">
        <v>24.9</v>
      </c>
      <c r="Q111" s="118"/>
      <c r="R111" s="118"/>
    </row>
    <row r="112" spans="2:18" ht="15" customHeight="1" x14ac:dyDescent="0.2">
      <c r="B112" s="272" t="s">
        <v>70</v>
      </c>
      <c r="C112" s="267">
        <v>400</v>
      </c>
      <c r="D112" s="268"/>
      <c r="E112" s="269"/>
      <c r="G112" s="280"/>
      <c r="J112" s="281"/>
    </row>
    <row r="113" spans="2:19" ht="15" customHeight="1" x14ac:dyDescent="0.2">
      <c r="B113" s="272" t="s">
        <v>71</v>
      </c>
      <c r="C113" s="267">
        <v>400</v>
      </c>
      <c r="D113" s="268"/>
      <c r="E113" s="269"/>
      <c r="G113" s="276"/>
      <c r="H113" s="285"/>
      <c r="I113" s="285"/>
      <c r="J113" s="281"/>
      <c r="L113" t="s">
        <v>111</v>
      </c>
      <c r="M113" s="258">
        <v>46039</v>
      </c>
      <c r="N113" s="252" t="s">
        <v>100</v>
      </c>
      <c r="P113" s="259">
        <v>101.5</v>
      </c>
    </row>
    <row r="114" spans="2:19" ht="15" customHeight="1" x14ac:dyDescent="0.2">
      <c r="B114" s="272" t="s">
        <v>72</v>
      </c>
      <c r="C114" s="267">
        <v>463</v>
      </c>
      <c r="D114" s="268">
        <v>250</v>
      </c>
      <c r="E114" s="269"/>
      <c r="G114" s="564"/>
      <c r="H114" s="565"/>
      <c r="I114" s="277"/>
      <c r="J114" s="279"/>
      <c r="N114" s="252" t="s">
        <v>173</v>
      </c>
      <c r="P114" s="261">
        <v>140</v>
      </c>
      <c r="Q114" s="560"/>
      <c r="R114" s="560"/>
      <c r="S114" s="560"/>
    </row>
    <row r="115" spans="2:19" ht="15" customHeight="1" x14ac:dyDescent="0.2">
      <c r="B115" s="272" t="s">
        <v>74</v>
      </c>
      <c r="C115" s="267">
        <v>721</v>
      </c>
      <c r="D115" s="268"/>
      <c r="E115" s="269"/>
      <c r="G115" s="276" t="s">
        <v>112</v>
      </c>
      <c r="I115" s="277">
        <v>70</v>
      </c>
      <c r="J115" s="279">
        <v>46040</v>
      </c>
      <c r="N115" s="252"/>
      <c r="P115" s="261"/>
    </row>
    <row r="116" spans="2:19" ht="15" customHeight="1" x14ac:dyDescent="0.2">
      <c r="B116" s="272" t="s">
        <v>75</v>
      </c>
      <c r="C116" s="267">
        <v>100</v>
      </c>
      <c r="D116" s="268"/>
      <c r="E116" s="269"/>
      <c r="G116" s="280" t="s">
        <v>113</v>
      </c>
      <c r="I116" s="287">
        <v>1424.5400000000002</v>
      </c>
      <c r="J116" s="281"/>
      <c r="N116" s="252"/>
      <c r="P116" s="261"/>
    </row>
    <row r="117" spans="2:19" ht="15" customHeight="1" thickBot="1" x14ac:dyDescent="0.25">
      <c r="B117" s="272" t="s">
        <v>78</v>
      </c>
      <c r="C117" s="267">
        <v>100</v>
      </c>
      <c r="D117" s="268"/>
      <c r="E117" s="269"/>
      <c r="G117" s="280" t="s">
        <v>114</v>
      </c>
      <c r="I117" s="307">
        <v>6539</v>
      </c>
      <c r="J117" s="281"/>
      <c r="N117" s="252"/>
      <c r="P117" s="261"/>
    </row>
    <row r="118" spans="2:19" ht="15" customHeight="1" x14ac:dyDescent="0.2">
      <c r="B118" s="272" t="s">
        <v>79</v>
      </c>
      <c r="C118" s="267">
        <v>487</v>
      </c>
      <c r="D118" s="268"/>
      <c r="E118" s="269"/>
      <c r="G118" s="280"/>
      <c r="J118" s="281"/>
      <c r="N118" s="252"/>
      <c r="P118" s="261"/>
      <c r="Q118" s="560"/>
      <c r="R118" s="560"/>
      <c r="S118" s="560"/>
    </row>
    <row r="119" spans="2:19" ht="15" customHeight="1" x14ac:dyDescent="0.2">
      <c r="B119" s="272"/>
      <c r="C119" s="267">
        <v>60</v>
      </c>
      <c r="D119" s="268"/>
      <c r="E119" s="269"/>
      <c r="G119" s="280"/>
      <c r="H119" s="283" t="s">
        <v>115</v>
      </c>
      <c r="I119" s="284">
        <f>SUM(I113:I117)</f>
        <v>8033.54</v>
      </c>
      <c r="J119" s="281"/>
      <c r="N119" s="252"/>
      <c r="P119" s="261"/>
    </row>
    <row r="120" spans="2:19" ht="15" customHeight="1" x14ac:dyDescent="0.2">
      <c r="B120" s="289"/>
      <c r="C120" s="267"/>
      <c r="D120" s="286"/>
      <c r="E120" s="278"/>
      <c r="G120" s="280"/>
      <c r="J120" s="281"/>
      <c r="K120" t="s">
        <v>116</v>
      </c>
      <c r="L120" t="s">
        <v>118</v>
      </c>
      <c r="M120" s="258">
        <v>46040</v>
      </c>
      <c r="N120" s="252" t="s">
        <v>100</v>
      </c>
      <c r="P120" s="259">
        <v>92.5</v>
      </c>
    </row>
    <row r="121" spans="2:19" ht="15" customHeight="1" x14ac:dyDescent="0.2">
      <c r="B121" s="289"/>
      <c r="C121" s="267"/>
      <c r="D121" s="286"/>
      <c r="E121" s="278"/>
      <c r="G121" s="290" t="s">
        <v>117</v>
      </c>
      <c r="H121" s="291"/>
      <c r="I121" s="292">
        <f>I110-I119</f>
        <v>854.27000000000135</v>
      </c>
      <c r="J121" s="293"/>
      <c r="N121" s="252" t="s">
        <v>101</v>
      </c>
      <c r="P121">
        <v>37.9</v>
      </c>
    </row>
    <row r="122" spans="2:19" ht="15" customHeight="1" x14ac:dyDescent="0.2">
      <c r="B122" s="289"/>
      <c r="C122" s="286"/>
      <c r="D122" s="286"/>
      <c r="E122" s="278"/>
      <c r="G122" s="280"/>
      <c r="I122" s="294"/>
      <c r="J122" s="281"/>
    </row>
    <row r="123" spans="2:19" ht="15" customHeight="1" x14ac:dyDescent="0.2">
      <c r="B123" s="289"/>
      <c r="C123" s="286"/>
      <c r="D123" s="286"/>
      <c r="E123" s="278"/>
      <c r="G123" s="289" t="s">
        <v>119</v>
      </c>
      <c r="I123" s="284">
        <v>853.2</v>
      </c>
      <c r="J123" s="281"/>
      <c r="N123" s="252"/>
      <c r="P123" s="261"/>
    </row>
    <row r="124" spans="2:19" ht="15" customHeight="1" thickBot="1" x14ac:dyDescent="0.25">
      <c r="B124" s="295" t="s">
        <v>120</v>
      </c>
      <c r="C124" s="296">
        <f>SUM(C100:C123)</f>
        <v>9946</v>
      </c>
      <c r="D124" s="297"/>
      <c r="E124" s="298"/>
      <c r="G124" s="299"/>
      <c r="H124" s="300"/>
      <c r="I124" s="561"/>
      <c r="J124" s="562"/>
      <c r="M124" s="252"/>
      <c r="P124" s="259"/>
    </row>
    <row r="125" spans="2:19" x14ac:dyDescent="0.2">
      <c r="B125" s="301" t="s">
        <v>121</v>
      </c>
      <c r="C125" s="267">
        <f>SUM(D101:E120)</f>
        <v>3407</v>
      </c>
      <c r="D125" s="302"/>
      <c r="E125" s="303"/>
      <c r="L125" t="s">
        <v>116</v>
      </c>
      <c r="M125" s="252"/>
      <c r="N125" s="304" t="s">
        <v>122</v>
      </c>
      <c r="P125" s="305">
        <f>SUM(P90:P124)</f>
        <v>1424.5400000000002</v>
      </c>
    </row>
    <row r="126" spans="2:19" ht="15" thickBot="1" x14ac:dyDescent="0.25">
      <c r="B126" s="306" t="s">
        <v>123</v>
      </c>
      <c r="C126" s="307">
        <f>C124-C125</f>
        <v>6539</v>
      </c>
      <c r="D126" s="308"/>
      <c r="E126" s="309"/>
      <c r="G126" s="563"/>
      <c r="H126" s="563"/>
      <c r="I126" s="563"/>
      <c r="J126" s="563"/>
      <c r="M126" s="252"/>
    </row>
    <row r="129" spans="2:17" ht="15" customHeight="1" x14ac:dyDescent="0.2">
      <c r="C129" s="249"/>
      <c r="D129" s="573" t="s">
        <v>95</v>
      </c>
      <c r="E129" s="573"/>
      <c r="F129" s="573" t="s">
        <v>5</v>
      </c>
      <c r="G129" s="573"/>
      <c r="H129" s="573" t="s">
        <v>29</v>
      </c>
      <c r="I129" s="573"/>
      <c r="J129" s="250"/>
      <c r="L129" s="574" t="s">
        <v>176</v>
      </c>
      <c r="M129" s="574"/>
      <c r="N129" s="574"/>
      <c r="O129" s="574"/>
      <c r="P129" s="574"/>
      <c r="Q129" s="574"/>
    </row>
    <row r="130" spans="2:17" ht="15" customHeight="1" thickBot="1" x14ac:dyDescent="0.25">
      <c r="B130" s="566"/>
      <c r="C130" s="575"/>
      <c r="D130" s="311" t="s">
        <v>96</v>
      </c>
      <c r="E130" s="311" t="s">
        <v>31</v>
      </c>
      <c r="F130" s="311" t="s">
        <v>96</v>
      </c>
      <c r="G130" s="311" t="s">
        <v>31</v>
      </c>
      <c r="H130" s="311" t="s">
        <v>96</v>
      </c>
      <c r="I130" s="311" t="s">
        <v>31</v>
      </c>
      <c r="J130" s="311" t="s">
        <v>97</v>
      </c>
      <c r="M130" s="252"/>
      <c r="N130" s="252"/>
      <c r="P130" s="253" t="s">
        <v>98</v>
      </c>
    </row>
    <row r="131" spans="2:17" ht="15" customHeight="1" x14ac:dyDescent="0.2">
      <c r="B131" s="251" t="s">
        <v>34</v>
      </c>
      <c r="C131" s="254">
        <v>46041</v>
      </c>
      <c r="D131" s="312">
        <v>743.52</v>
      </c>
      <c r="E131" s="255">
        <v>223.59999999999997</v>
      </c>
      <c r="F131" s="256">
        <v>1728.9900000000002</v>
      </c>
      <c r="G131" s="256">
        <v>392.1</v>
      </c>
      <c r="H131" s="313">
        <v>2472.5100000000002</v>
      </c>
      <c r="I131" s="313">
        <v>615.70000000000005</v>
      </c>
      <c r="J131" s="314">
        <v>3088.21</v>
      </c>
    </row>
    <row r="132" spans="2:17" ht="15" customHeight="1" x14ac:dyDescent="0.2">
      <c r="B132" s="251" t="s">
        <v>35</v>
      </c>
      <c r="C132" s="254">
        <v>46042</v>
      </c>
      <c r="D132" s="315">
        <v>221.07</v>
      </c>
      <c r="E132" s="68">
        <v>219.55</v>
      </c>
      <c r="F132" s="69">
        <v>1379.3100000000002</v>
      </c>
      <c r="G132" s="69">
        <v>465.40000000000003</v>
      </c>
      <c r="H132" s="257">
        <v>1600.38</v>
      </c>
      <c r="I132" s="257">
        <v>684.95</v>
      </c>
      <c r="J132" s="316">
        <v>2285.33</v>
      </c>
      <c r="L132" t="s">
        <v>99</v>
      </c>
      <c r="M132" s="258">
        <v>46041</v>
      </c>
      <c r="N132" s="252" t="s">
        <v>100</v>
      </c>
      <c r="P132" s="259">
        <v>75.5</v>
      </c>
    </row>
    <row r="133" spans="2:17" ht="15" customHeight="1" x14ac:dyDescent="0.2">
      <c r="B133" s="251" t="s">
        <v>36</v>
      </c>
      <c r="C133" s="254">
        <v>46043</v>
      </c>
      <c r="D133" s="315">
        <v>1010.88</v>
      </c>
      <c r="E133" s="68">
        <v>518.65</v>
      </c>
      <c r="F133" s="69">
        <v>2617.9899999999998</v>
      </c>
      <c r="G133" s="69">
        <v>673.74999999999977</v>
      </c>
      <c r="H133" s="260">
        <v>3628.87</v>
      </c>
      <c r="I133" s="260">
        <v>1192.3999999999996</v>
      </c>
      <c r="J133" s="317">
        <v>4821.2699999999995</v>
      </c>
      <c r="M133" s="252"/>
      <c r="N133" s="252" t="s">
        <v>178</v>
      </c>
      <c r="P133" s="259">
        <v>71.8</v>
      </c>
    </row>
    <row r="134" spans="2:17" ht="15" customHeight="1" x14ac:dyDescent="0.2">
      <c r="B134" s="251" t="s">
        <v>37</v>
      </c>
      <c r="C134" s="254">
        <v>46044</v>
      </c>
      <c r="D134" s="315">
        <v>574.29999999999995</v>
      </c>
      <c r="E134" s="68">
        <v>329.70000000000005</v>
      </c>
      <c r="F134" s="69">
        <v>2237.41</v>
      </c>
      <c r="G134" s="69">
        <v>232.80000000000007</v>
      </c>
      <c r="H134" s="260">
        <v>2811.71</v>
      </c>
      <c r="I134" s="260">
        <v>562.50000000000011</v>
      </c>
      <c r="J134" s="317">
        <v>3374.21</v>
      </c>
      <c r="M134" s="252"/>
      <c r="N134" s="252" t="s">
        <v>101</v>
      </c>
      <c r="P134" s="261">
        <v>46.95</v>
      </c>
    </row>
    <row r="135" spans="2:17" ht="15" customHeight="1" x14ac:dyDescent="0.2">
      <c r="B135" s="251" t="s">
        <v>38</v>
      </c>
      <c r="C135" s="254">
        <v>46045</v>
      </c>
      <c r="D135" s="315">
        <v>347.60999999999996</v>
      </c>
      <c r="E135" s="68">
        <v>404.65000000000003</v>
      </c>
      <c r="F135" s="69">
        <v>3894.29</v>
      </c>
      <c r="G135" s="69">
        <v>878.60000000000014</v>
      </c>
      <c r="H135" s="260">
        <v>4241.8999999999996</v>
      </c>
      <c r="I135" s="260">
        <v>1283.2500000000002</v>
      </c>
      <c r="J135" s="317">
        <v>5525.15</v>
      </c>
    </row>
    <row r="136" spans="2:17" ht="15" customHeight="1" x14ac:dyDescent="0.2">
      <c r="B136" s="251" t="s">
        <v>40</v>
      </c>
      <c r="C136" s="254">
        <v>46046</v>
      </c>
      <c r="D136" s="315">
        <v>713.13</v>
      </c>
      <c r="E136" s="68">
        <v>276.75</v>
      </c>
      <c r="F136" s="69">
        <v>4150.62</v>
      </c>
      <c r="G136" s="69">
        <v>672.98000000000025</v>
      </c>
      <c r="H136" s="257">
        <v>4863.75</v>
      </c>
      <c r="I136" s="257">
        <v>949.73000000000025</v>
      </c>
      <c r="J136" s="316">
        <v>5813.4800000000005</v>
      </c>
      <c r="L136" t="s">
        <v>102</v>
      </c>
      <c r="M136" s="258">
        <v>46042</v>
      </c>
      <c r="N136" s="252" t="s">
        <v>100</v>
      </c>
      <c r="P136" s="259">
        <v>75.5</v>
      </c>
    </row>
    <row r="137" spans="2:17" ht="15" customHeight="1" x14ac:dyDescent="0.2">
      <c r="B137" s="251" t="s">
        <v>41</v>
      </c>
      <c r="C137" s="254">
        <v>46047</v>
      </c>
      <c r="D137" s="315">
        <v>550.24</v>
      </c>
      <c r="E137" s="68">
        <v>79.399999999999977</v>
      </c>
      <c r="F137" s="69">
        <v>1879.5600000000002</v>
      </c>
      <c r="G137" s="69">
        <v>467.5999999999998</v>
      </c>
      <c r="H137" s="257">
        <v>2429.8000000000002</v>
      </c>
      <c r="I137" s="257">
        <v>546.99999999999977</v>
      </c>
      <c r="J137" s="316">
        <v>2976.8</v>
      </c>
      <c r="N137" s="252" t="s">
        <v>179</v>
      </c>
      <c r="P137" s="259">
        <v>36</v>
      </c>
    </row>
    <row r="138" spans="2:17" ht="15" customHeight="1" thickBot="1" x14ac:dyDescent="0.25">
      <c r="B138" s="566"/>
      <c r="C138" s="567"/>
      <c r="D138" s="318">
        <v>4160.75</v>
      </c>
      <c r="E138" s="310">
        <v>2052.3000000000002</v>
      </c>
      <c r="F138" s="310">
        <v>17888.170000000002</v>
      </c>
      <c r="G138" s="310">
        <v>3783.23</v>
      </c>
      <c r="H138" s="319">
        <v>22048.920000000002</v>
      </c>
      <c r="I138" s="320">
        <v>5835.5300000000007</v>
      </c>
      <c r="J138" s="321">
        <v>27884.449999999997</v>
      </c>
      <c r="N138" s="252" t="s">
        <v>140</v>
      </c>
      <c r="P138" s="261">
        <v>528</v>
      </c>
    </row>
    <row r="139" spans="2:17" ht="15" customHeight="1" thickBot="1" x14ac:dyDescent="0.25">
      <c r="C139" s="249"/>
      <c r="N139" s="252" t="s">
        <v>173</v>
      </c>
      <c r="P139" s="259">
        <v>122</v>
      </c>
    </row>
    <row r="140" spans="2:17" ht="15" customHeight="1" x14ac:dyDescent="0.2">
      <c r="B140" s="568" t="s">
        <v>177</v>
      </c>
      <c r="C140" s="569"/>
      <c r="D140" s="569"/>
      <c r="E140" s="570"/>
      <c r="N140" s="252" t="s">
        <v>173</v>
      </c>
      <c r="P140" s="259">
        <v>64</v>
      </c>
    </row>
    <row r="141" spans="2:17" ht="15" customHeight="1" x14ac:dyDescent="0.2">
      <c r="B141" s="263"/>
      <c r="C141" s="264" t="s">
        <v>50</v>
      </c>
      <c r="D141" s="264" t="s">
        <v>51</v>
      </c>
      <c r="E141" s="265" t="s">
        <v>104</v>
      </c>
    </row>
    <row r="142" spans="2:17" ht="15" customHeight="1" x14ac:dyDescent="0.2">
      <c r="B142" s="266"/>
      <c r="C142" s="267"/>
      <c r="D142" s="268"/>
      <c r="E142" s="269"/>
      <c r="L142" t="s">
        <v>103</v>
      </c>
      <c r="M142" s="258">
        <v>46043</v>
      </c>
      <c r="N142" s="252" t="s">
        <v>100</v>
      </c>
      <c r="O142" s="262"/>
      <c r="P142" s="259">
        <v>68.5</v>
      </c>
    </row>
    <row r="143" spans="2:17" ht="15" customHeight="1" x14ac:dyDescent="0.2">
      <c r="B143" s="270" t="s">
        <v>54</v>
      </c>
      <c r="C143" s="267">
        <v>250</v>
      </c>
      <c r="D143" s="268"/>
      <c r="E143" s="269"/>
      <c r="G143" s="565"/>
      <c r="H143" s="565"/>
      <c r="I143" s="271"/>
      <c r="M143" s="258"/>
      <c r="P143" s="261"/>
    </row>
    <row r="144" spans="2:17" ht="15" customHeight="1" x14ac:dyDescent="0.2">
      <c r="B144" s="270" t="s">
        <v>55</v>
      </c>
      <c r="C144" s="267">
        <v>80</v>
      </c>
      <c r="D144" s="268"/>
      <c r="E144" s="269"/>
      <c r="G144" s="565"/>
      <c r="H144" s="565"/>
      <c r="I144" s="271"/>
      <c r="N144" s="252"/>
      <c r="P144" s="261"/>
    </row>
    <row r="145" spans="2:19" ht="15" customHeight="1" thickBot="1" x14ac:dyDescent="0.25">
      <c r="B145" s="272" t="s">
        <v>56</v>
      </c>
      <c r="C145" s="267">
        <v>1370</v>
      </c>
      <c r="D145" s="268">
        <v>962</v>
      </c>
      <c r="E145" s="269"/>
      <c r="L145" t="s">
        <v>105</v>
      </c>
      <c r="M145" s="258">
        <v>46044</v>
      </c>
      <c r="N145" s="252" t="s">
        <v>100</v>
      </c>
      <c r="P145" s="259">
        <v>87</v>
      </c>
    </row>
    <row r="146" spans="2:19" ht="15" customHeight="1" x14ac:dyDescent="0.2">
      <c r="B146" s="275" t="s">
        <v>58</v>
      </c>
      <c r="C146" s="267">
        <v>720</v>
      </c>
      <c r="D146" s="268"/>
      <c r="E146" s="269"/>
      <c r="G146" s="571"/>
      <c r="H146" s="572"/>
      <c r="I146" s="413"/>
      <c r="J146" s="414"/>
      <c r="N146" s="252" t="s">
        <v>101</v>
      </c>
      <c r="P146" s="415">
        <v>227</v>
      </c>
    </row>
    <row r="147" spans="2:19" ht="15" customHeight="1" x14ac:dyDescent="0.2">
      <c r="B147" s="272" t="s">
        <v>61</v>
      </c>
      <c r="C147" s="267">
        <v>1195</v>
      </c>
      <c r="D147" s="268">
        <v>1145</v>
      </c>
      <c r="E147" s="269"/>
      <c r="G147" s="564"/>
      <c r="H147" s="565"/>
      <c r="I147" s="412"/>
      <c r="J147" s="281"/>
      <c r="N147" s="252" t="s">
        <v>101</v>
      </c>
      <c r="P147" s="415">
        <v>12</v>
      </c>
    </row>
    <row r="148" spans="2:19" ht="15" customHeight="1" x14ac:dyDescent="0.2">
      <c r="B148" s="275" t="s">
        <v>63</v>
      </c>
      <c r="C148" s="267">
        <v>960</v>
      </c>
      <c r="D148" s="268"/>
      <c r="E148" s="278"/>
      <c r="G148" s="564" t="s">
        <v>106</v>
      </c>
      <c r="H148" s="565"/>
      <c r="I148" s="277">
        <v>70</v>
      </c>
      <c r="J148" s="279">
        <v>46040</v>
      </c>
      <c r="N148" s="118" t="s">
        <v>180</v>
      </c>
      <c r="P148" s="261">
        <v>7</v>
      </c>
    </row>
    <row r="149" spans="2:19" ht="15" customHeight="1" x14ac:dyDescent="0.2">
      <c r="B149" s="270" t="s">
        <v>65</v>
      </c>
      <c r="C149" s="267">
        <v>580</v>
      </c>
      <c r="D149" s="268">
        <v>250</v>
      </c>
      <c r="E149" s="269"/>
      <c r="G149" s="280" t="s">
        <v>108</v>
      </c>
      <c r="I149" s="385">
        <v>5835.53</v>
      </c>
      <c r="J149" s="281"/>
      <c r="N149" s="252"/>
      <c r="P149" s="261"/>
    </row>
    <row r="150" spans="2:19" ht="15" customHeight="1" x14ac:dyDescent="0.2">
      <c r="B150" s="275" t="s">
        <v>159</v>
      </c>
      <c r="C150" s="267">
        <v>0</v>
      </c>
      <c r="D150" s="268"/>
      <c r="E150" s="269"/>
      <c r="G150" s="280" t="s">
        <v>109</v>
      </c>
      <c r="I150" s="405">
        <v>3000</v>
      </c>
      <c r="J150" s="282"/>
      <c r="K150" s="118"/>
      <c r="L150" t="s">
        <v>107</v>
      </c>
      <c r="M150" s="258">
        <v>46045</v>
      </c>
      <c r="N150" s="252" t="s">
        <v>100</v>
      </c>
      <c r="P150" s="259">
        <v>90</v>
      </c>
    </row>
    <row r="151" spans="2:19" ht="15" customHeight="1" x14ac:dyDescent="0.2">
      <c r="B151" s="275" t="s">
        <v>67</v>
      </c>
      <c r="C151" s="267">
        <v>450</v>
      </c>
      <c r="D151" s="268"/>
      <c r="E151" s="269"/>
      <c r="G151" s="564"/>
      <c r="H151" s="565"/>
      <c r="I151" s="271"/>
      <c r="J151" s="281"/>
      <c r="N151" s="252" t="s">
        <v>181</v>
      </c>
      <c r="P151" s="261">
        <v>40.15</v>
      </c>
    </row>
    <row r="152" spans="2:19" ht="15" customHeight="1" x14ac:dyDescent="0.2">
      <c r="B152" s="275" t="s">
        <v>68</v>
      </c>
      <c r="C152" s="267">
        <v>120</v>
      </c>
      <c r="D152" s="268"/>
      <c r="E152" s="269"/>
      <c r="G152" s="280"/>
      <c r="H152" s="283" t="s">
        <v>110</v>
      </c>
      <c r="I152" s="284">
        <f>SUM(I146:I151)</f>
        <v>8905.5299999999988</v>
      </c>
      <c r="J152" s="281"/>
      <c r="M152" s="118"/>
      <c r="N152" s="393" t="s">
        <v>183</v>
      </c>
      <c r="O152" s="118"/>
      <c r="P152" s="394">
        <v>50</v>
      </c>
    </row>
    <row r="153" spans="2:19" ht="15" customHeight="1" x14ac:dyDescent="0.2">
      <c r="B153" s="272" t="s">
        <v>69</v>
      </c>
      <c r="C153" s="267">
        <v>480</v>
      </c>
      <c r="D153" s="268"/>
      <c r="E153" s="269"/>
      <c r="G153" s="280"/>
      <c r="H153" s="283"/>
      <c r="I153" s="283"/>
      <c r="J153" s="281"/>
      <c r="P153" s="415"/>
      <c r="Q153" s="118"/>
      <c r="R153" s="118"/>
    </row>
    <row r="154" spans="2:19" ht="15" customHeight="1" x14ac:dyDescent="0.2">
      <c r="B154" s="272" t="s">
        <v>70</v>
      </c>
      <c r="C154" s="267">
        <v>1070</v>
      </c>
      <c r="D154" s="268">
        <v>800</v>
      </c>
      <c r="E154" s="269"/>
      <c r="G154" s="280"/>
      <c r="J154" s="281"/>
    </row>
    <row r="155" spans="2:19" ht="15" customHeight="1" x14ac:dyDescent="0.2">
      <c r="B155" s="272" t="s">
        <v>71</v>
      </c>
      <c r="C155" s="267">
        <v>400</v>
      </c>
      <c r="D155" s="268"/>
      <c r="E155" s="269"/>
      <c r="G155" s="276"/>
      <c r="H155" s="285"/>
      <c r="I155" s="285"/>
      <c r="J155" s="281"/>
      <c r="L155" t="s">
        <v>111</v>
      </c>
      <c r="M155" s="258">
        <v>46046</v>
      </c>
      <c r="N155" s="252" t="s">
        <v>100</v>
      </c>
      <c r="P155" s="259">
        <v>90.5</v>
      </c>
    </row>
    <row r="156" spans="2:19" ht="15" customHeight="1" x14ac:dyDescent="0.2">
      <c r="B156" s="272" t="s">
        <v>72</v>
      </c>
      <c r="C156" s="267">
        <v>400</v>
      </c>
      <c r="D156" s="268"/>
      <c r="E156" s="269"/>
      <c r="G156" s="564"/>
      <c r="H156" s="565"/>
      <c r="I156" s="277"/>
      <c r="J156" s="279"/>
      <c r="N156" s="252" t="s">
        <v>101</v>
      </c>
      <c r="P156" s="261">
        <v>81.75</v>
      </c>
      <c r="Q156" s="560"/>
      <c r="R156" s="560"/>
      <c r="S156" s="560"/>
    </row>
    <row r="157" spans="2:19" ht="15" customHeight="1" x14ac:dyDescent="0.2">
      <c r="B157" s="272" t="s">
        <v>74</v>
      </c>
      <c r="C157" s="267">
        <v>560</v>
      </c>
      <c r="D157" s="268">
        <v>250</v>
      </c>
      <c r="E157" s="269"/>
      <c r="G157" s="276"/>
      <c r="I157" s="277"/>
      <c r="J157" s="279"/>
      <c r="N157" s="252" t="s">
        <v>182</v>
      </c>
      <c r="P157" s="261">
        <v>6</v>
      </c>
    </row>
    <row r="158" spans="2:19" ht="15" customHeight="1" x14ac:dyDescent="0.2">
      <c r="B158" s="272" t="s">
        <v>75</v>
      </c>
      <c r="C158" s="267">
        <v>721</v>
      </c>
      <c r="D158" s="268"/>
      <c r="E158" s="269"/>
      <c r="G158" s="280" t="s">
        <v>113</v>
      </c>
      <c r="I158" s="287">
        <v>1866.59</v>
      </c>
      <c r="J158" s="281"/>
      <c r="N158" s="252"/>
      <c r="P158" s="261"/>
    </row>
    <row r="159" spans="2:19" ht="15" customHeight="1" thickBot="1" x14ac:dyDescent="0.25">
      <c r="B159" s="272" t="s">
        <v>78</v>
      </c>
      <c r="C159" s="267">
        <v>100</v>
      </c>
      <c r="D159" s="268"/>
      <c r="E159" s="269"/>
      <c r="G159" s="280" t="s">
        <v>114</v>
      </c>
      <c r="I159" s="307">
        <v>6633</v>
      </c>
      <c r="J159" s="281"/>
      <c r="N159" s="252"/>
      <c r="P159" s="261"/>
    </row>
    <row r="160" spans="2:19" ht="15" customHeight="1" x14ac:dyDescent="0.2">
      <c r="B160" s="272" t="s">
        <v>79</v>
      </c>
      <c r="C160" s="267">
        <v>0</v>
      </c>
      <c r="D160" s="268"/>
      <c r="E160" s="269"/>
      <c r="G160" s="280"/>
      <c r="J160" s="281"/>
      <c r="N160" s="252"/>
      <c r="P160" s="261"/>
      <c r="Q160" s="560"/>
      <c r="R160" s="560"/>
      <c r="S160" s="560"/>
    </row>
    <row r="161" spans="2:17" ht="15" customHeight="1" x14ac:dyDescent="0.2">
      <c r="B161" s="272"/>
      <c r="C161" s="267">
        <v>584</v>
      </c>
      <c r="D161" s="268"/>
      <c r="E161" s="269"/>
      <c r="G161" s="280"/>
      <c r="H161" s="283" t="s">
        <v>115</v>
      </c>
      <c r="I161" s="284">
        <f>SUM(I155:I159)</f>
        <v>8499.59</v>
      </c>
      <c r="J161" s="281"/>
      <c r="N161" s="252"/>
      <c r="P161" s="261"/>
    </row>
    <row r="162" spans="2:17" ht="15" customHeight="1" x14ac:dyDescent="0.2">
      <c r="B162" s="289"/>
      <c r="C162" s="267"/>
      <c r="D162" s="286"/>
      <c r="E162" s="278"/>
      <c r="G162" s="280"/>
      <c r="J162" s="281"/>
      <c r="K162" t="s">
        <v>116</v>
      </c>
      <c r="L162" t="s">
        <v>118</v>
      </c>
      <c r="M162" s="258">
        <v>46047</v>
      </c>
      <c r="N162" s="252" t="s">
        <v>100</v>
      </c>
      <c r="P162" s="259">
        <v>50</v>
      </c>
    </row>
    <row r="163" spans="2:17" ht="15" customHeight="1" x14ac:dyDescent="0.2">
      <c r="B163" s="289"/>
      <c r="C163" s="267"/>
      <c r="D163" s="286"/>
      <c r="E163" s="278"/>
      <c r="G163" s="290" t="s">
        <v>117</v>
      </c>
      <c r="H163" s="291"/>
      <c r="I163" s="292">
        <f>I152-I161</f>
        <v>405.93999999999869</v>
      </c>
      <c r="J163" s="293"/>
      <c r="N163" s="252" t="s">
        <v>101</v>
      </c>
      <c r="P163">
        <v>36.94</v>
      </c>
    </row>
    <row r="164" spans="2:17" ht="15" customHeight="1" x14ac:dyDescent="0.2">
      <c r="B164" s="289"/>
      <c r="C164" s="286"/>
      <c r="D164" s="286"/>
      <c r="E164" s="278"/>
      <c r="G164" s="280"/>
      <c r="I164" s="294"/>
      <c r="J164" s="281"/>
    </row>
    <row r="165" spans="2:17" ht="15" customHeight="1" x14ac:dyDescent="0.2">
      <c r="B165" s="289"/>
      <c r="C165" s="286"/>
      <c r="D165" s="286"/>
      <c r="E165" s="278"/>
      <c r="G165" s="289" t="s">
        <v>119</v>
      </c>
      <c r="I165" s="284">
        <v>406.8</v>
      </c>
      <c r="J165" s="281"/>
      <c r="N165" s="252"/>
      <c r="P165" s="261"/>
    </row>
    <row r="166" spans="2:17" ht="15" customHeight="1" thickBot="1" x14ac:dyDescent="0.25">
      <c r="B166" s="295" t="s">
        <v>120</v>
      </c>
      <c r="C166" s="296">
        <f>SUM(C142:C165)</f>
        <v>10040</v>
      </c>
      <c r="D166" s="297"/>
      <c r="E166" s="298"/>
      <c r="G166" s="299"/>
      <c r="H166" s="300"/>
      <c r="I166" s="561"/>
      <c r="J166" s="562"/>
      <c r="M166" s="252"/>
      <c r="P166" s="259"/>
    </row>
    <row r="167" spans="2:17" x14ac:dyDescent="0.2">
      <c r="B167" s="301" t="s">
        <v>121</v>
      </c>
      <c r="C167" s="267">
        <f>SUM(D143:E162)</f>
        <v>3407</v>
      </c>
      <c r="D167" s="302"/>
      <c r="E167" s="303"/>
      <c r="L167" t="s">
        <v>116</v>
      </c>
      <c r="M167" s="252"/>
      <c r="N167" s="304" t="s">
        <v>122</v>
      </c>
      <c r="P167" s="305">
        <f>SUM(P132:P166)</f>
        <v>1866.5900000000001</v>
      </c>
    </row>
    <row r="168" spans="2:17" ht="15" thickBot="1" x14ac:dyDescent="0.25">
      <c r="B168" s="306" t="s">
        <v>123</v>
      </c>
      <c r="C168" s="307">
        <f>C166-C167</f>
        <v>6633</v>
      </c>
      <c r="D168" s="308"/>
      <c r="E168" s="309"/>
      <c r="G168" s="563"/>
      <c r="H168" s="563"/>
      <c r="I168" s="563"/>
      <c r="J168" s="563"/>
      <c r="M168" s="252"/>
    </row>
    <row r="172" spans="2:17" ht="15" customHeight="1" x14ac:dyDescent="0.2">
      <c r="C172" s="249"/>
      <c r="D172" s="573" t="s">
        <v>95</v>
      </c>
      <c r="E172" s="573"/>
      <c r="F172" s="573" t="s">
        <v>5</v>
      </c>
      <c r="G172" s="573"/>
      <c r="H172" s="573" t="s">
        <v>29</v>
      </c>
      <c r="I172" s="573"/>
      <c r="J172" s="250"/>
      <c r="L172" s="574" t="s">
        <v>185</v>
      </c>
      <c r="M172" s="574"/>
      <c r="N172" s="574"/>
      <c r="O172" s="574"/>
      <c r="P172" s="574"/>
      <c r="Q172" s="574"/>
    </row>
    <row r="173" spans="2:17" ht="15" customHeight="1" thickBot="1" x14ac:dyDescent="0.25">
      <c r="B173" s="566"/>
      <c r="C173" s="575"/>
      <c r="D173" s="311" t="s">
        <v>96</v>
      </c>
      <c r="E173" s="311" t="s">
        <v>31</v>
      </c>
      <c r="F173" s="311" t="s">
        <v>96</v>
      </c>
      <c r="G173" s="311" t="s">
        <v>31</v>
      </c>
      <c r="H173" s="311" t="s">
        <v>96</v>
      </c>
      <c r="I173" s="311" t="s">
        <v>31</v>
      </c>
      <c r="J173" s="311" t="s">
        <v>97</v>
      </c>
      <c r="M173" s="252"/>
      <c r="N173" s="252"/>
      <c r="P173" s="253" t="s">
        <v>98</v>
      </c>
    </row>
    <row r="174" spans="2:17" ht="15" customHeight="1" x14ac:dyDescent="0.2">
      <c r="B174" s="251" t="s">
        <v>34</v>
      </c>
      <c r="C174" s="254">
        <v>46048</v>
      </c>
      <c r="D174" s="312">
        <v>664.19999999999993</v>
      </c>
      <c r="E174" s="255">
        <v>114.45000000000003</v>
      </c>
      <c r="F174" s="256">
        <v>2010.27</v>
      </c>
      <c r="G174" s="256">
        <v>478.74999999999989</v>
      </c>
      <c r="H174" s="313">
        <v>2674.47</v>
      </c>
      <c r="I174" s="313">
        <v>593.19999999999993</v>
      </c>
      <c r="J174" s="314">
        <v>3267.6699999999996</v>
      </c>
    </row>
    <row r="175" spans="2:17" ht="15" customHeight="1" x14ac:dyDescent="0.2">
      <c r="B175" s="251" t="s">
        <v>35</v>
      </c>
      <c r="C175" s="254">
        <v>46049</v>
      </c>
      <c r="D175" s="315">
        <v>738.03000000000009</v>
      </c>
      <c r="E175" s="68">
        <v>421.10000000000008</v>
      </c>
      <c r="F175" s="69">
        <v>1842.27</v>
      </c>
      <c r="G175" s="69">
        <v>425.89999999999986</v>
      </c>
      <c r="H175" s="257">
        <v>2580.3000000000002</v>
      </c>
      <c r="I175" s="257">
        <v>847</v>
      </c>
      <c r="J175" s="316">
        <v>3427.3</v>
      </c>
      <c r="L175" t="s">
        <v>99</v>
      </c>
      <c r="M175" s="258">
        <v>46048</v>
      </c>
      <c r="N175" s="252" t="s">
        <v>100</v>
      </c>
      <c r="P175" s="259">
        <v>60.5</v>
      </c>
    </row>
    <row r="176" spans="2:17" ht="15" customHeight="1" x14ac:dyDescent="0.2">
      <c r="B176" s="251" t="s">
        <v>36</v>
      </c>
      <c r="C176" s="254">
        <v>46050</v>
      </c>
      <c r="D176" s="315">
        <v>289.45</v>
      </c>
      <c r="E176" s="68">
        <v>42.699999999999967</v>
      </c>
      <c r="F176" s="69">
        <v>2712.47</v>
      </c>
      <c r="G176" s="69">
        <v>228.99999999999977</v>
      </c>
      <c r="H176" s="260">
        <v>3001.9199999999996</v>
      </c>
      <c r="I176" s="260">
        <v>271.69999999999976</v>
      </c>
      <c r="J176" s="317">
        <v>3273.6199999999994</v>
      </c>
      <c r="M176" s="252"/>
      <c r="N176" s="252" t="s">
        <v>189</v>
      </c>
      <c r="P176" s="259">
        <v>264</v>
      </c>
    </row>
    <row r="177" spans="2:16" ht="15" customHeight="1" x14ac:dyDescent="0.2">
      <c r="B177" s="251" t="s">
        <v>37</v>
      </c>
      <c r="C177" s="254">
        <v>46051</v>
      </c>
      <c r="D177" s="315">
        <v>432.22999999999996</v>
      </c>
      <c r="E177" s="68">
        <v>225.85000000000008</v>
      </c>
      <c r="F177" s="69">
        <v>2530.7200000000003</v>
      </c>
      <c r="G177" s="69">
        <v>433.99999999999972</v>
      </c>
      <c r="H177" s="260">
        <v>2962.9500000000003</v>
      </c>
      <c r="I177" s="260">
        <v>659.8499999999998</v>
      </c>
      <c r="J177" s="317">
        <v>3622.8</v>
      </c>
      <c r="M177" s="252"/>
      <c r="N177" s="252"/>
      <c r="P177" s="261"/>
    </row>
    <row r="178" spans="2:16" ht="15" customHeight="1" x14ac:dyDescent="0.2">
      <c r="B178" s="251" t="s">
        <v>38</v>
      </c>
      <c r="C178" s="254">
        <v>46052</v>
      </c>
      <c r="D178" s="315">
        <v>572.59</v>
      </c>
      <c r="E178" s="68">
        <v>292.79999999999995</v>
      </c>
      <c r="F178" s="69">
        <v>3402.05</v>
      </c>
      <c r="G178" s="69">
        <v>826.75</v>
      </c>
      <c r="H178" s="260">
        <v>3974.6400000000003</v>
      </c>
      <c r="I178" s="260">
        <v>1119.55</v>
      </c>
      <c r="J178" s="317">
        <v>5094.1900000000005</v>
      </c>
      <c r="N178" s="252"/>
      <c r="P178" s="415"/>
    </row>
    <row r="179" spans="2:16" ht="15" customHeight="1" x14ac:dyDescent="0.2">
      <c r="B179" s="251" t="s">
        <v>40</v>
      </c>
      <c r="C179" s="254">
        <v>46053</v>
      </c>
      <c r="D179" s="315">
        <v>640.39</v>
      </c>
      <c r="E179" s="68">
        <v>136.14999999999995</v>
      </c>
      <c r="F179" s="69">
        <v>3961.4599999999996</v>
      </c>
      <c r="G179" s="69">
        <v>761.89000000000067</v>
      </c>
      <c r="H179" s="257">
        <v>4601.8499999999995</v>
      </c>
      <c r="I179" s="257">
        <v>898.04000000000065</v>
      </c>
      <c r="J179" s="316">
        <v>5499.89</v>
      </c>
    </row>
    <row r="180" spans="2:16" ht="15" customHeight="1" x14ac:dyDescent="0.2">
      <c r="B180" s="251" t="s">
        <v>41</v>
      </c>
      <c r="C180" s="254">
        <v>46054</v>
      </c>
      <c r="D180" s="315">
        <v>894.13</v>
      </c>
      <c r="E180" s="68">
        <v>128.39999999999992</v>
      </c>
      <c r="F180" s="69">
        <v>2457</v>
      </c>
      <c r="G180" s="69">
        <v>501.15</v>
      </c>
      <c r="H180" s="257">
        <v>3351.13</v>
      </c>
      <c r="I180" s="257">
        <v>629.54999999999995</v>
      </c>
      <c r="J180" s="316">
        <v>3980.6800000000003</v>
      </c>
      <c r="L180" t="s">
        <v>102</v>
      </c>
      <c r="M180" s="258">
        <v>46049</v>
      </c>
      <c r="N180" s="252" t="s">
        <v>100</v>
      </c>
      <c r="P180" s="259">
        <v>69.5</v>
      </c>
    </row>
    <row r="181" spans="2:16" ht="15" customHeight="1" thickBot="1" x14ac:dyDescent="0.25">
      <c r="B181" s="566"/>
      <c r="C181" s="567"/>
      <c r="D181" s="318">
        <v>4231.0199999999995</v>
      </c>
      <c r="E181" s="310">
        <v>1361.4499999999998</v>
      </c>
      <c r="F181" s="310">
        <v>18916.239999999998</v>
      </c>
      <c r="G181" s="310">
        <v>3657.4400000000005</v>
      </c>
      <c r="H181" s="319">
        <v>23147.260000000002</v>
      </c>
      <c r="I181" s="320">
        <v>5018.8900000000003</v>
      </c>
      <c r="J181" s="321">
        <v>28166.15</v>
      </c>
      <c r="N181" s="252"/>
      <c r="P181" s="261"/>
    </row>
    <row r="182" spans="2:16" ht="15" customHeight="1" thickBot="1" x14ac:dyDescent="0.25">
      <c r="C182" s="249"/>
      <c r="N182" s="252"/>
      <c r="P182" s="259"/>
    </row>
    <row r="183" spans="2:16" ht="15" customHeight="1" x14ac:dyDescent="0.2">
      <c r="B183" s="568" t="s">
        <v>186</v>
      </c>
      <c r="C183" s="569"/>
      <c r="D183" s="569"/>
      <c r="E183" s="570"/>
      <c r="N183" s="252"/>
      <c r="P183" s="259"/>
    </row>
    <row r="184" spans="2:16" ht="15" customHeight="1" x14ac:dyDescent="0.2">
      <c r="B184" s="263"/>
      <c r="C184" s="264" t="s">
        <v>50</v>
      </c>
      <c r="D184" s="264" t="s">
        <v>51</v>
      </c>
      <c r="E184" s="265" t="s">
        <v>104</v>
      </c>
    </row>
    <row r="185" spans="2:16" ht="15" customHeight="1" x14ac:dyDescent="0.2">
      <c r="B185" s="266"/>
      <c r="C185" s="267"/>
      <c r="D185" s="268"/>
      <c r="E185" s="269"/>
      <c r="L185" t="s">
        <v>103</v>
      </c>
      <c r="M185" s="258">
        <v>46050</v>
      </c>
      <c r="N185" s="252" t="s">
        <v>100</v>
      </c>
      <c r="O185" s="262"/>
      <c r="P185" s="259">
        <v>75.5</v>
      </c>
    </row>
    <row r="186" spans="2:16" ht="15" customHeight="1" x14ac:dyDescent="0.2">
      <c r="B186" s="270" t="s">
        <v>54</v>
      </c>
      <c r="C186" s="267">
        <v>250</v>
      </c>
      <c r="D186" s="268"/>
      <c r="E186" s="269"/>
      <c r="G186" s="565"/>
      <c r="H186" s="565"/>
      <c r="I186" s="271"/>
      <c r="M186" s="258"/>
      <c r="P186" s="261"/>
    </row>
    <row r="187" spans="2:16" ht="15" customHeight="1" x14ac:dyDescent="0.2">
      <c r="B187" s="270" t="s">
        <v>66</v>
      </c>
      <c r="C187" s="267">
        <v>0</v>
      </c>
      <c r="D187" s="268"/>
      <c r="E187" s="269"/>
      <c r="G187" s="565"/>
      <c r="H187" s="565"/>
      <c r="I187" s="271"/>
      <c r="N187" s="252"/>
      <c r="P187" s="261"/>
    </row>
    <row r="188" spans="2:16" ht="15" customHeight="1" thickBot="1" x14ac:dyDescent="0.25">
      <c r="B188" s="272" t="s">
        <v>55</v>
      </c>
      <c r="C188" s="267">
        <v>1291.95</v>
      </c>
      <c r="D188" s="268">
        <v>962</v>
      </c>
      <c r="E188" s="269"/>
      <c r="L188" t="s">
        <v>105</v>
      </c>
      <c r="M188" s="258">
        <v>46051</v>
      </c>
      <c r="N188" s="252" t="s">
        <v>100</v>
      </c>
      <c r="P188" s="259">
        <v>77.5</v>
      </c>
    </row>
    <row r="189" spans="2:16" ht="15" customHeight="1" x14ac:dyDescent="0.2">
      <c r="B189" s="275" t="s">
        <v>56</v>
      </c>
      <c r="C189" s="267">
        <v>1241.95</v>
      </c>
      <c r="D189" s="268"/>
      <c r="E189" s="269"/>
      <c r="G189" s="571"/>
      <c r="H189" s="572"/>
      <c r="I189" s="413"/>
      <c r="J189" s="414"/>
      <c r="N189" s="252" t="s">
        <v>101</v>
      </c>
      <c r="P189" s="415">
        <v>186.6</v>
      </c>
    </row>
    <row r="190" spans="2:16" ht="15" customHeight="1" x14ac:dyDescent="0.2">
      <c r="B190" s="272" t="s">
        <v>58</v>
      </c>
      <c r="C190" s="267">
        <v>1021.95</v>
      </c>
      <c r="D190" s="268">
        <v>1145</v>
      </c>
      <c r="E190" s="269"/>
      <c r="G190" s="564"/>
      <c r="H190" s="565"/>
      <c r="I190" s="412"/>
      <c r="J190" s="281"/>
      <c r="N190" s="252" t="s">
        <v>101</v>
      </c>
      <c r="P190" s="415">
        <v>18.600000000000001</v>
      </c>
    </row>
    <row r="191" spans="2:16" ht="15" customHeight="1" x14ac:dyDescent="0.2">
      <c r="B191" s="275" t="s">
        <v>61</v>
      </c>
      <c r="C191" s="267">
        <v>972.5</v>
      </c>
      <c r="D191" s="268"/>
      <c r="E191" s="278"/>
      <c r="G191" s="564"/>
      <c r="H191" s="565"/>
      <c r="I191" s="277"/>
      <c r="J191" s="279"/>
      <c r="N191" s="118"/>
      <c r="P191" s="261"/>
    </row>
    <row r="192" spans="2:16" ht="15" customHeight="1" x14ac:dyDescent="0.2">
      <c r="B192" s="270" t="s">
        <v>63</v>
      </c>
      <c r="C192" s="267">
        <v>580</v>
      </c>
      <c r="D192" s="268">
        <v>250</v>
      </c>
      <c r="E192" s="269"/>
      <c r="G192" s="280" t="s">
        <v>108</v>
      </c>
      <c r="I192" s="385">
        <v>5018.8900000000003</v>
      </c>
      <c r="J192" s="281"/>
      <c r="N192" s="252"/>
      <c r="P192" s="261"/>
    </row>
    <row r="193" spans="2:19" ht="15" customHeight="1" x14ac:dyDescent="0.2">
      <c r="B193" s="275" t="s">
        <v>65</v>
      </c>
      <c r="C193" s="267">
        <v>230</v>
      </c>
      <c r="D193" s="268"/>
      <c r="E193" s="269"/>
      <c r="G193" s="280" t="s">
        <v>109</v>
      </c>
      <c r="I193" s="405">
        <v>4000</v>
      </c>
      <c r="J193" s="282"/>
      <c r="K193" s="118"/>
      <c r="L193" t="s">
        <v>107</v>
      </c>
      <c r="M193" s="258">
        <v>46052</v>
      </c>
      <c r="N193" s="252" t="s">
        <v>100</v>
      </c>
      <c r="P193" s="259">
        <v>67</v>
      </c>
    </row>
    <row r="194" spans="2:19" ht="15" customHeight="1" x14ac:dyDescent="0.2">
      <c r="B194" s="275" t="s">
        <v>159</v>
      </c>
      <c r="C194" s="267">
        <v>130</v>
      </c>
      <c r="D194" s="268"/>
      <c r="E194" s="269"/>
      <c r="G194" s="564"/>
      <c r="H194" s="565"/>
      <c r="I194" s="271"/>
      <c r="J194" s="281"/>
      <c r="N194" s="252" t="s">
        <v>190</v>
      </c>
      <c r="P194" s="261">
        <v>8.8000000000000007</v>
      </c>
    </row>
    <row r="195" spans="2:19" ht="15" customHeight="1" x14ac:dyDescent="0.2">
      <c r="B195" s="275" t="s">
        <v>67</v>
      </c>
      <c r="C195" s="267">
        <v>120</v>
      </c>
      <c r="D195" s="268"/>
      <c r="E195" s="269"/>
      <c r="G195" s="280"/>
      <c r="H195" s="283" t="s">
        <v>110</v>
      </c>
      <c r="I195" s="284">
        <f>SUM(I189:I194)</f>
        <v>9018.89</v>
      </c>
      <c r="J195" s="281"/>
      <c r="M195" s="118"/>
      <c r="N195" s="393" t="s">
        <v>101</v>
      </c>
      <c r="O195" s="118"/>
      <c r="P195" s="394">
        <v>6.9</v>
      </c>
    </row>
    <row r="196" spans="2:19" ht="15" customHeight="1" x14ac:dyDescent="0.2">
      <c r="B196" s="272" t="s">
        <v>68</v>
      </c>
      <c r="C196" s="267">
        <v>480</v>
      </c>
      <c r="D196" s="268"/>
      <c r="E196" s="269"/>
      <c r="G196" s="280"/>
      <c r="H196" s="283"/>
      <c r="I196" s="283"/>
      <c r="J196" s="281"/>
      <c r="N196" s="252" t="s">
        <v>183</v>
      </c>
      <c r="P196" s="415">
        <v>50</v>
      </c>
      <c r="Q196" s="118"/>
      <c r="R196" s="118"/>
    </row>
    <row r="197" spans="2:19" ht="15" customHeight="1" x14ac:dyDescent="0.2">
      <c r="B197" s="272" t="s">
        <v>69</v>
      </c>
      <c r="C197" s="267">
        <v>1090</v>
      </c>
      <c r="D197" s="268">
        <v>800</v>
      </c>
      <c r="E197" s="269"/>
      <c r="G197" s="280"/>
      <c r="J197" s="281"/>
    </row>
    <row r="198" spans="2:19" ht="15" customHeight="1" x14ac:dyDescent="0.2">
      <c r="B198" s="272" t="s">
        <v>70</v>
      </c>
      <c r="C198" s="267">
        <v>429.45</v>
      </c>
      <c r="D198" s="268"/>
      <c r="E198" s="269"/>
      <c r="G198" s="276"/>
      <c r="H198" s="285"/>
      <c r="I198" s="285"/>
      <c r="J198" s="281"/>
      <c r="L198" t="s">
        <v>111</v>
      </c>
      <c r="M198" s="258">
        <v>46053</v>
      </c>
      <c r="N198" s="252" t="s">
        <v>100</v>
      </c>
      <c r="P198" s="259">
        <v>101</v>
      </c>
    </row>
    <row r="199" spans="2:19" ht="15" customHeight="1" x14ac:dyDescent="0.2">
      <c r="B199" s="272" t="s">
        <v>71</v>
      </c>
      <c r="C199" s="267">
        <v>429.45</v>
      </c>
      <c r="D199" s="268"/>
      <c r="E199" s="269"/>
      <c r="G199" s="564"/>
      <c r="H199" s="565"/>
      <c r="I199" s="277"/>
      <c r="J199" s="279"/>
      <c r="N199" s="252" t="s">
        <v>101</v>
      </c>
      <c r="P199" s="261">
        <v>94.55</v>
      </c>
      <c r="Q199" s="560"/>
      <c r="R199" s="560"/>
      <c r="S199" s="560"/>
    </row>
    <row r="200" spans="2:19" ht="15" customHeight="1" x14ac:dyDescent="0.2">
      <c r="B200" s="272" t="s">
        <v>72</v>
      </c>
      <c r="C200" s="267">
        <v>589.45000000000005</v>
      </c>
      <c r="D200" s="268">
        <v>250</v>
      </c>
      <c r="E200" s="269"/>
      <c r="G200" s="276" t="s">
        <v>112</v>
      </c>
      <c r="I200" s="277">
        <v>123</v>
      </c>
      <c r="J200" s="279">
        <v>46054</v>
      </c>
      <c r="N200" s="252"/>
      <c r="P200" s="261"/>
    </row>
    <row r="201" spans="2:19" ht="15" customHeight="1" x14ac:dyDescent="0.2">
      <c r="B201" s="272" t="s">
        <v>74</v>
      </c>
      <c r="C201" s="267">
        <v>636.5</v>
      </c>
      <c r="D201" s="268"/>
      <c r="E201" s="269"/>
      <c r="G201" s="280" t="s">
        <v>113</v>
      </c>
      <c r="I201" s="287">
        <v>1157.45</v>
      </c>
      <c r="J201" s="281"/>
      <c r="N201" s="252"/>
      <c r="P201" s="261"/>
    </row>
    <row r="202" spans="2:19" ht="15" customHeight="1" thickBot="1" x14ac:dyDescent="0.25">
      <c r="B202" s="272" t="s">
        <v>75</v>
      </c>
      <c r="C202" s="267">
        <v>100</v>
      </c>
      <c r="D202" s="268"/>
      <c r="E202" s="269"/>
      <c r="G202" s="280" t="s">
        <v>114</v>
      </c>
      <c r="I202" s="307">
        <v>6902.15</v>
      </c>
      <c r="J202" s="281"/>
      <c r="N202" s="252"/>
      <c r="P202" s="261"/>
    </row>
    <row r="203" spans="2:19" ht="15" customHeight="1" x14ac:dyDescent="0.2">
      <c r="B203" s="272" t="s">
        <v>78</v>
      </c>
      <c r="C203" s="267">
        <v>100</v>
      </c>
      <c r="D203" s="268"/>
      <c r="E203" s="269"/>
      <c r="G203" s="280"/>
      <c r="J203" s="281"/>
      <c r="N203" s="252"/>
      <c r="P203" s="261"/>
      <c r="Q203" s="560"/>
      <c r="R203" s="560"/>
      <c r="S203" s="560"/>
    </row>
    <row r="204" spans="2:19" ht="15" customHeight="1" x14ac:dyDescent="0.2">
      <c r="B204" s="272" t="s">
        <v>79</v>
      </c>
      <c r="C204" s="267">
        <v>615.95000000000005</v>
      </c>
      <c r="D204" s="268"/>
      <c r="E204" s="269"/>
      <c r="G204" s="280"/>
      <c r="H204" s="283" t="s">
        <v>115</v>
      </c>
      <c r="I204" s="284">
        <f>SUM(I198:I202)</f>
        <v>8182.5999999999995</v>
      </c>
      <c r="J204" s="281"/>
      <c r="N204" s="252"/>
      <c r="P204" s="261"/>
    </row>
    <row r="205" spans="2:19" ht="15" customHeight="1" x14ac:dyDescent="0.2">
      <c r="B205" s="289"/>
      <c r="C205" s="267"/>
      <c r="D205" s="286"/>
      <c r="E205" s="278"/>
      <c r="G205" s="280"/>
      <c r="J205" s="281"/>
      <c r="K205" t="s">
        <v>116</v>
      </c>
      <c r="L205" t="s">
        <v>118</v>
      </c>
      <c r="M205" s="258">
        <v>46054</v>
      </c>
      <c r="N205" s="252" t="s">
        <v>100</v>
      </c>
      <c r="P205" s="259">
        <v>77</v>
      </c>
    </row>
    <row r="206" spans="2:19" ht="15" customHeight="1" x14ac:dyDescent="0.2">
      <c r="B206" s="289"/>
      <c r="C206" s="267"/>
      <c r="D206" s="286"/>
      <c r="E206" s="278"/>
      <c r="G206" s="290" t="s">
        <v>117</v>
      </c>
      <c r="H206" s="291"/>
      <c r="I206" s="292">
        <f>I195-I204</f>
        <v>836.29</v>
      </c>
      <c r="J206" s="293"/>
      <c r="N206" s="252"/>
    </row>
    <row r="207" spans="2:19" ht="15" customHeight="1" x14ac:dyDescent="0.2">
      <c r="B207" s="289"/>
      <c r="C207" s="286"/>
      <c r="D207" s="286"/>
      <c r="E207" s="278"/>
      <c r="G207" s="280"/>
      <c r="I207" s="294"/>
      <c r="J207" s="281"/>
    </row>
    <row r="208" spans="2:19" ht="15" customHeight="1" x14ac:dyDescent="0.2">
      <c r="B208" s="289"/>
      <c r="C208" s="286"/>
      <c r="D208" s="286"/>
      <c r="E208" s="278"/>
      <c r="G208" s="289" t="s">
        <v>119</v>
      </c>
      <c r="I208" s="284">
        <v>836.35</v>
      </c>
      <c r="J208" s="281"/>
      <c r="N208" s="252"/>
      <c r="P208" s="261"/>
    </row>
    <row r="209" spans="2:17" ht="15" customHeight="1" thickBot="1" x14ac:dyDescent="0.25">
      <c r="B209" s="295" t="s">
        <v>120</v>
      </c>
      <c r="C209" s="296">
        <f>SUM(C185:C208)</f>
        <v>10309.150000000001</v>
      </c>
      <c r="D209" s="297"/>
      <c r="E209" s="298"/>
      <c r="G209" s="299"/>
      <c r="H209" s="300"/>
      <c r="I209" s="561"/>
      <c r="J209" s="562"/>
      <c r="M209" s="252"/>
      <c r="P209" s="259"/>
    </row>
    <row r="210" spans="2:17" x14ac:dyDescent="0.2">
      <c r="B210" s="301" t="s">
        <v>121</v>
      </c>
      <c r="C210" s="267">
        <f>SUM(D186:E205)</f>
        <v>3407</v>
      </c>
      <c r="D210" s="302"/>
      <c r="E210" s="303"/>
      <c r="L210" t="s">
        <v>116</v>
      </c>
      <c r="M210" s="252"/>
      <c r="N210" s="304" t="s">
        <v>122</v>
      </c>
      <c r="P210" s="305">
        <f>SUM(P175:P209)</f>
        <v>1157.45</v>
      </c>
    </row>
    <row r="211" spans="2:17" ht="15" thickBot="1" x14ac:dyDescent="0.25">
      <c r="B211" s="306" t="s">
        <v>123</v>
      </c>
      <c r="C211" s="307">
        <f>C209-C210</f>
        <v>6902.1500000000015</v>
      </c>
      <c r="D211" s="308"/>
      <c r="E211" s="309"/>
      <c r="G211" s="563"/>
      <c r="H211" s="563"/>
      <c r="I211" s="563"/>
      <c r="J211" s="563"/>
      <c r="M211" s="252"/>
    </row>
    <row r="213" spans="2:17" ht="14.25" customHeight="1" x14ac:dyDescent="0.2"/>
    <row r="214" spans="2:17" ht="15" customHeight="1" x14ac:dyDescent="0.2">
      <c r="C214" s="249"/>
      <c r="D214" s="573" t="s">
        <v>95</v>
      </c>
      <c r="E214" s="573"/>
      <c r="F214" s="573" t="s">
        <v>5</v>
      </c>
      <c r="G214" s="573"/>
      <c r="H214" s="573" t="s">
        <v>29</v>
      </c>
      <c r="I214" s="573"/>
      <c r="J214" s="250"/>
      <c r="L214" s="574" t="s">
        <v>195</v>
      </c>
      <c r="M214" s="574"/>
      <c r="N214" s="574"/>
      <c r="O214" s="574"/>
      <c r="P214" s="574"/>
      <c r="Q214" s="574"/>
    </row>
    <row r="215" spans="2:17" ht="15" customHeight="1" thickBot="1" x14ac:dyDescent="0.25">
      <c r="B215" s="566"/>
      <c r="C215" s="575"/>
      <c r="D215" s="311" t="s">
        <v>96</v>
      </c>
      <c r="E215" s="311" t="s">
        <v>31</v>
      </c>
      <c r="F215" s="311" t="s">
        <v>96</v>
      </c>
      <c r="G215" s="311" t="s">
        <v>31</v>
      </c>
      <c r="H215" s="311" t="s">
        <v>96</v>
      </c>
      <c r="I215" s="311" t="s">
        <v>31</v>
      </c>
      <c r="J215" s="311" t="s">
        <v>97</v>
      </c>
      <c r="M215" s="252"/>
      <c r="N215" s="252"/>
      <c r="P215" s="253" t="s">
        <v>98</v>
      </c>
    </row>
    <row r="216" spans="2:17" ht="15" customHeight="1" x14ac:dyDescent="0.2">
      <c r="B216" s="251" t="s">
        <v>34</v>
      </c>
      <c r="C216" s="254">
        <v>46055</v>
      </c>
      <c r="D216" s="312">
        <v>445.10999999999996</v>
      </c>
      <c r="E216" s="255">
        <v>341.65000000000003</v>
      </c>
      <c r="F216" s="256">
        <v>1237.73</v>
      </c>
      <c r="G216" s="256">
        <v>662.84999999999991</v>
      </c>
      <c r="H216" s="313">
        <v>1682.84</v>
      </c>
      <c r="I216" s="313">
        <v>1004.5</v>
      </c>
      <c r="J216" s="314">
        <v>2687.34</v>
      </c>
    </row>
    <row r="217" spans="2:17" ht="15" customHeight="1" x14ac:dyDescent="0.2">
      <c r="B217" s="251" t="s">
        <v>35</v>
      </c>
      <c r="C217" s="254">
        <v>46056</v>
      </c>
      <c r="D217" s="315">
        <v>295.27999999999997</v>
      </c>
      <c r="E217" s="68">
        <v>153.9</v>
      </c>
      <c r="F217" s="69">
        <v>2444.5099999999998</v>
      </c>
      <c r="G217" s="69">
        <v>490.40000000000009</v>
      </c>
      <c r="H217" s="257">
        <v>2739.79</v>
      </c>
      <c r="I217" s="257">
        <v>644.30000000000007</v>
      </c>
      <c r="J217" s="316">
        <v>3384.09</v>
      </c>
      <c r="L217" t="s">
        <v>99</v>
      </c>
      <c r="M217" s="258">
        <v>46055</v>
      </c>
      <c r="N217" s="252" t="s">
        <v>100</v>
      </c>
      <c r="P217" s="259">
        <v>69.5</v>
      </c>
    </row>
    <row r="218" spans="2:17" ht="15" customHeight="1" x14ac:dyDescent="0.2">
      <c r="B218" s="251" t="s">
        <v>36</v>
      </c>
      <c r="C218" s="254">
        <v>46057</v>
      </c>
      <c r="D218" s="315">
        <v>652.31999999999994</v>
      </c>
      <c r="E218" s="68">
        <v>309.09999999999997</v>
      </c>
      <c r="F218" s="69">
        <v>2043.92</v>
      </c>
      <c r="G218" s="69">
        <v>572.65000000000009</v>
      </c>
      <c r="H218" s="260">
        <v>2696.24</v>
      </c>
      <c r="I218" s="260">
        <v>881.75</v>
      </c>
      <c r="J218" s="317">
        <v>3577.99</v>
      </c>
      <c r="M218" s="252"/>
      <c r="P218" s="259"/>
    </row>
    <row r="219" spans="2:17" ht="15" customHeight="1" x14ac:dyDescent="0.2">
      <c r="B219" s="251" t="s">
        <v>37</v>
      </c>
      <c r="C219" s="254">
        <v>46058</v>
      </c>
      <c r="D219" s="315">
        <v>439.98</v>
      </c>
      <c r="E219" s="68">
        <v>406.75</v>
      </c>
      <c r="F219" s="69">
        <v>2996.62</v>
      </c>
      <c r="G219" s="69">
        <v>261.20000000000016</v>
      </c>
      <c r="H219" s="260">
        <v>3436.6</v>
      </c>
      <c r="I219" s="260">
        <v>667.95000000000016</v>
      </c>
      <c r="J219" s="317">
        <v>4104.55</v>
      </c>
      <c r="M219" s="252"/>
      <c r="N219" s="252"/>
      <c r="P219" s="261"/>
    </row>
    <row r="220" spans="2:17" ht="15" customHeight="1" x14ac:dyDescent="0.2">
      <c r="B220" s="251" t="s">
        <v>38</v>
      </c>
      <c r="C220" s="254">
        <v>46059</v>
      </c>
      <c r="D220" s="315">
        <v>787.48</v>
      </c>
      <c r="E220" s="68">
        <v>222.90000000000003</v>
      </c>
      <c r="F220" s="69">
        <v>4581.28</v>
      </c>
      <c r="G220" s="69">
        <v>1033.1000000000004</v>
      </c>
      <c r="H220" s="260">
        <v>5368.76</v>
      </c>
      <c r="I220" s="260">
        <v>1256.0000000000005</v>
      </c>
      <c r="J220" s="317">
        <v>6624.76</v>
      </c>
      <c r="N220" s="252"/>
      <c r="P220" s="415"/>
    </row>
    <row r="221" spans="2:17" ht="15" customHeight="1" x14ac:dyDescent="0.2">
      <c r="B221" s="251" t="s">
        <v>40</v>
      </c>
      <c r="C221" s="254">
        <v>46060</v>
      </c>
      <c r="D221" s="315">
        <v>343.41</v>
      </c>
      <c r="E221" s="68">
        <v>173.2</v>
      </c>
      <c r="F221" s="69">
        <v>4514.08</v>
      </c>
      <c r="G221" s="69">
        <v>1310.8499999999997</v>
      </c>
      <c r="H221" s="257">
        <v>4857.49</v>
      </c>
      <c r="I221" s="257">
        <v>1484.0499999999997</v>
      </c>
      <c r="J221" s="316">
        <v>6341.5399999999991</v>
      </c>
    </row>
    <row r="222" spans="2:17" ht="15" customHeight="1" x14ac:dyDescent="0.2">
      <c r="B222" s="251" t="s">
        <v>41</v>
      </c>
      <c r="C222" s="254">
        <v>46061</v>
      </c>
      <c r="D222" s="315">
        <v>789.46</v>
      </c>
      <c r="E222" s="68">
        <v>111.15</v>
      </c>
      <c r="F222" s="69">
        <v>2090.1799999999998</v>
      </c>
      <c r="G222" s="69">
        <v>659.65000000000009</v>
      </c>
      <c r="H222" s="257">
        <v>2879.64</v>
      </c>
      <c r="I222" s="257">
        <v>770.80000000000007</v>
      </c>
      <c r="J222" s="316">
        <v>3650.44</v>
      </c>
      <c r="L222" t="s">
        <v>102</v>
      </c>
      <c r="M222" s="258">
        <v>46056</v>
      </c>
      <c r="N222" s="252" t="s">
        <v>100</v>
      </c>
      <c r="P222" s="259">
        <v>75.5</v>
      </c>
    </row>
    <row r="223" spans="2:17" ht="15" customHeight="1" thickBot="1" x14ac:dyDescent="0.25">
      <c r="B223" s="566"/>
      <c r="C223" s="567"/>
      <c r="D223" s="318">
        <v>3753.04</v>
      </c>
      <c r="E223" s="310">
        <v>1718.6500000000003</v>
      </c>
      <c r="F223" s="310">
        <v>19908.32</v>
      </c>
      <c r="G223" s="310">
        <v>4990.7000000000007</v>
      </c>
      <c r="H223" s="319">
        <v>23661.360000000001</v>
      </c>
      <c r="I223" s="320">
        <v>6709.3500000000013</v>
      </c>
      <c r="J223" s="321">
        <v>30370.710000000003</v>
      </c>
      <c r="N223" s="252" t="s">
        <v>189</v>
      </c>
      <c r="P223" s="261">
        <v>528</v>
      </c>
    </row>
    <row r="224" spans="2:17" ht="15" customHeight="1" thickBot="1" x14ac:dyDescent="0.25">
      <c r="C224" s="249"/>
      <c r="N224" s="252"/>
      <c r="P224" s="259"/>
    </row>
    <row r="225" spans="2:18" ht="15" customHeight="1" x14ac:dyDescent="0.2">
      <c r="B225" s="568" t="s">
        <v>196</v>
      </c>
      <c r="C225" s="569"/>
      <c r="D225" s="569"/>
      <c r="E225" s="570"/>
      <c r="N225" s="252"/>
      <c r="P225" s="259"/>
    </row>
    <row r="226" spans="2:18" ht="15" customHeight="1" x14ac:dyDescent="0.2">
      <c r="B226" s="263"/>
      <c r="C226" s="264" t="s">
        <v>50</v>
      </c>
      <c r="D226" s="264" t="s">
        <v>51</v>
      </c>
      <c r="E226" s="265" t="s">
        <v>104</v>
      </c>
      <c r="L226" t="s">
        <v>103</v>
      </c>
      <c r="M226" s="258">
        <v>46057</v>
      </c>
      <c r="N226" s="252" t="s">
        <v>100</v>
      </c>
      <c r="O226" s="262"/>
      <c r="P226" s="259">
        <v>73</v>
      </c>
    </row>
    <row r="227" spans="2:18" ht="15" customHeight="1" x14ac:dyDescent="0.2">
      <c r="B227" s="266"/>
      <c r="C227" s="267"/>
      <c r="D227" s="268"/>
      <c r="E227" s="269"/>
      <c r="M227" s="258"/>
      <c r="N227" t="s">
        <v>101</v>
      </c>
      <c r="P227" s="261">
        <v>196.7</v>
      </c>
    </row>
    <row r="228" spans="2:18" ht="15" customHeight="1" x14ac:dyDescent="0.2">
      <c r="B228" s="270" t="s">
        <v>54</v>
      </c>
      <c r="C228" s="267">
        <v>250</v>
      </c>
      <c r="D228" s="268"/>
      <c r="E228" s="269"/>
      <c r="G228" s="565"/>
      <c r="H228" s="565"/>
      <c r="I228" s="271"/>
      <c r="N228" s="252" t="s">
        <v>180</v>
      </c>
      <c r="P228" s="415">
        <v>5.5</v>
      </c>
    </row>
    <row r="229" spans="2:18" ht="15" customHeight="1" x14ac:dyDescent="0.2">
      <c r="B229" s="270" t="s">
        <v>66</v>
      </c>
      <c r="C229" s="267">
        <v>0</v>
      </c>
      <c r="D229" s="268"/>
      <c r="E229" s="269"/>
      <c r="G229" s="565"/>
      <c r="H229" s="565"/>
      <c r="I229" s="271"/>
      <c r="N229" s="252"/>
      <c r="P229" s="261"/>
    </row>
    <row r="230" spans="2:18" ht="15" customHeight="1" thickBot="1" x14ac:dyDescent="0.25">
      <c r="B230" s="272" t="s">
        <v>55</v>
      </c>
      <c r="C230" s="267">
        <v>1250</v>
      </c>
      <c r="D230" s="268">
        <v>962</v>
      </c>
      <c r="E230" s="269"/>
      <c r="L230" t="s">
        <v>105</v>
      </c>
      <c r="M230" s="258">
        <v>46058</v>
      </c>
      <c r="N230" s="252" t="s">
        <v>100</v>
      </c>
      <c r="P230" s="259">
        <v>80</v>
      </c>
    </row>
    <row r="231" spans="2:18" ht="15" customHeight="1" x14ac:dyDescent="0.2">
      <c r="B231" s="275" t="s">
        <v>56</v>
      </c>
      <c r="C231" s="267">
        <v>1200</v>
      </c>
      <c r="D231" s="268"/>
      <c r="E231" s="269"/>
      <c r="G231" s="571"/>
      <c r="H231" s="572"/>
      <c r="I231" s="413"/>
      <c r="J231" s="414"/>
      <c r="N231" s="252" t="s">
        <v>201</v>
      </c>
      <c r="P231" s="415">
        <v>125</v>
      </c>
    </row>
    <row r="232" spans="2:18" ht="15" customHeight="1" x14ac:dyDescent="0.2">
      <c r="B232" s="272" t="s">
        <v>58</v>
      </c>
      <c r="C232" s="267">
        <v>1075</v>
      </c>
      <c r="D232" s="268">
        <v>1145</v>
      </c>
      <c r="E232" s="269"/>
      <c r="G232" s="564"/>
      <c r="H232" s="565"/>
      <c r="I232" s="412"/>
      <c r="J232" s="281"/>
      <c r="N232" s="252"/>
      <c r="P232" s="415"/>
    </row>
    <row r="233" spans="2:18" ht="15" customHeight="1" x14ac:dyDescent="0.2">
      <c r="B233" s="275" t="s">
        <v>61</v>
      </c>
      <c r="C233" s="267">
        <v>960</v>
      </c>
      <c r="D233" s="268"/>
      <c r="E233" s="278"/>
      <c r="G233" s="564" t="s">
        <v>106</v>
      </c>
      <c r="H233" s="565"/>
      <c r="I233" s="277">
        <v>123</v>
      </c>
      <c r="J233" s="506">
        <v>46054</v>
      </c>
      <c r="N233" s="118"/>
      <c r="P233" s="261"/>
    </row>
    <row r="234" spans="2:18" ht="15" customHeight="1" x14ac:dyDescent="0.2">
      <c r="B234" s="270" t="s">
        <v>63</v>
      </c>
      <c r="C234" s="267">
        <v>580</v>
      </c>
      <c r="D234" s="268">
        <v>250</v>
      </c>
      <c r="E234" s="269"/>
      <c r="G234" s="280" t="s">
        <v>108</v>
      </c>
      <c r="I234" s="385">
        <v>6709.35</v>
      </c>
      <c r="J234" s="281"/>
      <c r="N234" s="252"/>
      <c r="P234" s="261"/>
    </row>
    <row r="235" spans="2:18" ht="15" customHeight="1" x14ac:dyDescent="0.2">
      <c r="B235" s="275" t="s">
        <v>65</v>
      </c>
      <c r="C235" s="267">
        <v>230</v>
      </c>
      <c r="D235" s="268"/>
      <c r="E235" s="269"/>
      <c r="G235" s="280" t="s">
        <v>109</v>
      </c>
      <c r="I235" s="405">
        <v>2000</v>
      </c>
      <c r="J235" s="282"/>
      <c r="K235" s="118"/>
      <c r="L235" t="s">
        <v>107</v>
      </c>
      <c r="M235" s="258">
        <v>46059</v>
      </c>
      <c r="N235" s="252" t="s">
        <v>100</v>
      </c>
      <c r="P235" s="259">
        <v>101</v>
      </c>
    </row>
    <row r="236" spans="2:18" ht="15" customHeight="1" x14ac:dyDescent="0.2">
      <c r="B236" s="275" t="s">
        <v>197</v>
      </c>
      <c r="C236" s="267">
        <v>250</v>
      </c>
      <c r="D236" s="268"/>
      <c r="E236" s="269"/>
      <c r="G236" s="564"/>
      <c r="H236" s="565"/>
      <c r="I236" s="271"/>
      <c r="J236" s="281"/>
      <c r="N236" s="252" t="s">
        <v>101</v>
      </c>
      <c r="P236" s="261">
        <v>141.05000000000001</v>
      </c>
    </row>
    <row r="237" spans="2:18" ht="15" customHeight="1" x14ac:dyDescent="0.2">
      <c r="B237" s="275" t="s">
        <v>67</v>
      </c>
      <c r="C237" s="267">
        <v>120</v>
      </c>
      <c r="D237" s="268"/>
      <c r="E237" s="269"/>
      <c r="G237" s="280"/>
      <c r="H237" s="283" t="s">
        <v>110</v>
      </c>
      <c r="I237" s="284">
        <f>SUM(I231:I236)</f>
        <v>8832.35</v>
      </c>
      <c r="J237" s="281"/>
      <c r="M237" s="118"/>
      <c r="N237" s="393"/>
      <c r="O237" s="118"/>
      <c r="P237" s="394"/>
    </row>
    <row r="238" spans="2:18" ht="15" customHeight="1" x14ac:dyDescent="0.2">
      <c r="B238" s="272" t="s">
        <v>199</v>
      </c>
      <c r="C238" s="267">
        <v>125</v>
      </c>
      <c r="D238" s="268"/>
      <c r="E238" s="269">
        <v>125</v>
      </c>
      <c r="G238" s="280"/>
      <c r="H238" s="283"/>
      <c r="I238" s="283"/>
      <c r="J238" s="281"/>
      <c r="N238" s="252"/>
      <c r="P238" s="415"/>
      <c r="Q238" s="118"/>
      <c r="R238" s="118"/>
    </row>
    <row r="239" spans="2:18" ht="15" customHeight="1" x14ac:dyDescent="0.2">
      <c r="B239" s="272" t="s">
        <v>69</v>
      </c>
      <c r="C239" s="267">
        <v>1070</v>
      </c>
      <c r="D239" s="268">
        <v>800</v>
      </c>
      <c r="E239" s="269"/>
      <c r="G239" s="280"/>
      <c r="J239" s="281"/>
    </row>
    <row r="240" spans="2:18" ht="15" customHeight="1" x14ac:dyDescent="0.2">
      <c r="B240" s="272" t="s">
        <v>70</v>
      </c>
      <c r="C240" s="267">
        <v>400</v>
      </c>
      <c r="D240" s="268"/>
      <c r="E240" s="269"/>
      <c r="G240" s="276"/>
      <c r="H240" s="285"/>
      <c r="I240" s="285"/>
      <c r="J240" s="281"/>
      <c r="L240" t="s">
        <v>111</v>
      </c>
      <c r="M240" s="258">
        <v>46060</v>
      </c>
      <c r="N240" s="252" t="s">
        <v>100</v>
      </c>
      <c r="P240" s="259">
        <v>84</v>
      </c>
    </row>
    <row r="241" spans="2:19" ht="15" customHeight="1" x14ac:dyDescent="0.2">
      <c r="B241" s="272" t="s">
        <v>71</v>
      </c>
      <c r="C241" s="267">
        <v>400</v>
      </c>
      <c r="D241" s="268"/>
      <c r="E241" s="269"/>
      <c r="G241" s="564"/>
      <c r="H241" s="565"/>
      <c r="I241" s="277"/>
      <c r="J241" s="279"/>
      <c r="N241" s="252" t="s">
        <v>202</v>
      </c>
      <c r="P241" s="261">
        <v>43.4</v>
      </c>
      <c r="Q241" s="560"/>
      <c r="R241" s="560"/>
      <c r="S241" s="560"/>
    </row>
    <row r="242" spans="2:19" ht="15" customHeight="1" x14ac:dyDescent="0.2">
      <c r="B242" s="272" t="s">
        <v>72</v>
      </c>
      <c r="C242" s="267">
        <v>560</v>
      </c>
      <c r="D242" s="268">
        <v>250</v>
      </c>
      <c r="E242" s="269"/>
      <c r="G242" s="276" t="s">
        <v>112</v>
      </c>
      <c r="I242" s="277">
        <v>70</v>
      </c>
      <c r="J242" s="506">
        <v>46061</v>
      </c>
      <c r="N242" s="252" t="s">
        <v>173</v>
      </c>
      <c r="P242" s="261">
        <v>144</v>
      </c>
    </row>
    <row r="243" spans="2:19" ht="15" customHeight="1" x14ac:dyDescent="0.2">
      <c r="B243" s="272" t="s">
        <v>74</v>
      </c>
      <c r="C243" s="267">
        <v>624</v>
      </c>
      <c r="D243" s="268"/>
      <c r="E243" s="269"/>
      <c r="G243" s="280" t="s">
        <v>113</v>
      </c>
      <c r="I243" s="287">
        <v>1788.95</v>
      </c>
      <c r="J243" s="281"/>
      <c r="N243" s="252" t="s">
        <v>101</v>
      </c>
      <c r="P243" s="261">
        <v>25.3</v>
      </c>
    </row>
    <row r="244" spans="2:19" ht="15" customHeight="1" thickBot="1" x14ac:dyDescent="0.25">
      <c r="B244" s="272" t="s">
        <v>75</v>
      </c>
      <c r="C244" s="267">
        <v>100</v>
      </c>
      <c r="D244" s="268"/>
      <c r="E244" s="269"/>
      <c r="G244" s="280" t="s">
        <v>114</v>
      </c>
      <c r="I244" s="307">
        <v>6504.5</v>
      </c>
      <c r="J244" s="281"/>
      <c r="N244" s="252"/>
      <c r="P244" s="261"/>
    </row>
    <row r="245" spans="2:19" ht="15" customHeight="1" x14ac:dyDescent="0.2">
      <c r="B245" s="272" t="s">
        <v>78</v>
      </c>
      <c r="C245" s="267">
        <v>100</v>
      </c>
      <c r="D245" s="268"/>
      <c r="E245" s="269"/>
      <c r="G245" s="280"/>
      <c r="J245" s="281"/>
      <c r="N245" s="252"/>
      <c r="P245" s="261"/>
      <c r="Q245" s="560"/>
      <c r="R245" s="560"/>
      <c r="S245" s="560"/>
    </row>
    <row r="246" spans="2:19" ht="15" customHeight="1" x14ac:dyDescent="0.2">
      <c r="B246" s="272" t="s">
        <v>79</v>
      </c>
      <c r="C246" s="267">
        <v>562.5</v>
      </c>
      <c r="D246" s="268"/>
      <c r="E246" s="269"/>
      <c r="G246" s="280"/>
      <c r="H246" s="283" t="s">
        <v>115</v>
      </c>
      <c r="I246" s="284">
        <f>SUM(I240:I244)</f>
        <v>8363.4500000000007</v>
      </c>
      <c r="J246" s="281"/>
      <c r="N246" s="252"/>
      <c r="P246" s="261"/>
    </row>
    <row r="247" spans="2:19" ht="15" customHeight="1" x14ac:dyDescent="0.2">
      <c r="B247" s="289" t="s">
        <v>200</v>
      </c>
      <c r="C247" s="267">
        <v>180</v>
      </c>
      <c r="D247" s="286"/>
      <c r="E247" s="278"/>
      <c r="G247" s="280"/>
      <c r="J247" s="281"/>
      <c r="K247" t="s">
        <v>116</v>
      </c>
      <c r="L247" t="s">
        <v>118</v>
      </c>
      <c r="M247" s="258">
        <v>46061</v>
      </c>
      <c r="N247" s="252" t="s">
        <v>100</v>
      </c>
      <c r="P247" s="259">
        <v>97</v>
      </c>
    </row>
    <row r="248" spans="2:19" ht="15" customHeight="1" x14ac:dyDescent="0.2">
      <c r="B248" s="289"/>
      <c r="C248" s="267"/>
      <c r="D248" s="286"/>
      <c r="E248" s="278"/>
      <c r="G248" s="290" t="s">
        <v>117</v>
      </c>
      <c r="H248" s="291"/>
      <c r="I248" s="292">
        <f>I237-I246</f>
        <v>468.89999999999964</v>
      </c>
      <c r="J248" s="293"/>
      <c r="N248" s="252"/>
    </row>
    <row r="249" spans="2:19" ht="15" customHeight="1" x14ac:dyDescent="0.2">
      <c r="B249" s="289"/>
      <c r="C249" s="286"/>
      <c r="D249" s="286"/>
      <c r="E249" s="278"/>
      <c r="G249" s="280"/>
      <c r="I249" s="294"/>
      <c r="J249" s="281"/>
    </row>
    <row r="250" spans="2:19" ht="15" customHeight="1" x14ac:dyDescent="0.2">
      <c r="B250" s="289"/>
      <c r="C250" s="286"/>
      <c r="D250" s="286"/>
      <c r="E250" s="278"/>
      <c r="G250" s="289" t="s">
        <v>119</v>
      </c>
      <c r="I250" s="284">
        <v>469.3</v>
      </c>
      <c r="J250" s="281"/>
      <c r="N250" s="252"/>
      <c r="P250" s="261"/>
    </row>
    <row r="251" spans="2:19" ht="15" customHeight="1" thickBot="1" x14ac:dyDescent="0.25">
      <c r="B251" s="295" t="s">
        <v>120</v>
      </c>
      <c r="C251" s="296">
        <f>SUM(C227:C250)</f>
        <v>10036.5</v>
      </c>
      <c r="D251" s="297"/>
      <c r="E251" s="298"/>
      <c r="G251" s="299"/>
      <c r="H251" s="300"/>
      <c r="I251" s="561"/>
      <c r="J251" s="562"/>
      <c r="M251" s="252"/>
      <c r="P251" s="259"/>
    </row>
    <row r="252" spans="2:19" x14ac:dyDescent="0.2">
      <c r="B252" s="301" t="s">
        <v>121</v>
      </c>
      <c r="C252" s="267">
        <f>SUM(D228:E247)</f>
        <v>3532</v>
      </c>
      <c r="D252" s="302"/>
      <c r="E252" s="303"/>
      <c r="L252" t="s">
        <v>116</v>
      </c>
      <c r="M252" s="252"/>
      <c r="N252" s="304" t="s">
        <v>122</v>
      </c>
      <c r="P252" s="305">
        <f>SUM(P217:P251)</f>
        <v>1788.95</v>
      </c>
    </row>
    <row r="253" spans="2:19" ht="15" thickBot="1" x14ac:dyDescent="0.25">
      <c r="B253" s="306" t="s">
        <v>123</v>
      </c>
      <c r="C253" s="307">
        <f>C251-C252</f>
        <v>6504.5</v>
      </c>
      <c r="D253" s="308"/>
      <c r="E253" s="309"/>
      <c r="G253" s="563"/>
      <c r="H253" s="563"/>
      <c r="I253" s="563"/>
      <c r="J253" s="563"/>
      <c r="M253" s="252"/>
    </row>
    <row r="256" spans="2:19" ht="15" customHeight="1" x14ac:dyDescent="0.2">
      <c r="C256" s="249"/>
      <c r="D256" s="573" t="s">
        <v>95</v>
      </c>
      <c r="E256" s="573"/>
      <c r="F256" s="573" t="s">
        <v>5</v>
      </c>
      <c r="G256" s="573"/>
      <c r="H256" s="573" t="s">
        <v>29</v>
      </c>
      <c r="I256" s="573"/>
      <c r="J256" s="250"/>
      <c r="L256" s="574" t="s">
        <v>207</v>
      </c>
      <c r="M256" s="574"/>
      <c r="N256" s="574"/>
      <c r="O256" s="574"/>
      <c r="P256" s="574"/>
      <c r="Q256" s="574"/>
    </row>
    <row r="257" spans="2:16" ht="15" customHeight="1" thickBot="1" x14ac:dyDescent="0.25">
      <c r="B257" s="566"/>
      <c r="C257" s="575"/>
      <c r="D257" s="311" t="s">
        <v>96</v>
      </c>
      <c r="E257" s="311" t="s">
        <v>31</v>
      </c>
      <c r="F257" s="311" t="s">
        <v>96</v>
      </c>
      <c r="G257" s="311" t="s">
        <v>31</v>
      </c>
      <c r="H257" s="311" t="s">
        <v>96</v>
      </c>
      <c r="I257" s="311" t="s">
        <v>31</v>
      </c>
      <c r="J257" s="311" t="s">
        <v>97</v>
      </c>
      <c r="M257" s="252"/>
      <c r="N257" s="252"/>
      <c r="P257" s="253" t="s">
        <v>98</v>
      </c>
    </row>
    <row r="258" spans="2:16" ht="15" customHeight="1" x14ac:dyDescent="0.2">
      <c r="B258" s="251" t="s">
        <v>34</v>
      </c>
      <c r="C258" s="254">
        <v>46062</v>
      </c>
      <c r="D258" s="312">
        <v>562.69999999999993</v>
      </c>
      <c r="E258" s="255">
        <v>174.15000000000006</v>
      </c>
      <c r="F258" s="256">
        <v>1515.3</v>
      </c>
      <c r="G258" s="256">
        <v>182.24999999999994</v>
      </c>
      <c r="H258" s="313">
        <v>2078</v>
      </c>
      <c r="I258" s="313">
        <v>356.4</v>
      </c>
      <c r="J258" s="314">
        <v>2434.4</v>
      </c>
    </row>
    <row r="259" spans="2:16" ht="15" customHeight="1" x14ac:dyDescent="0.2">
      <c r="B259" s="251" t="s">
        <v>35</v>
      </c>
      <c r="C259" s="254">
        <v>46063</v>
      </c>
      <c r="D259" s="315">
        <v>345.77</v>
      </c>
      <c r="E259" s="68">
        <v>234.59999999999997</v>
      </c>
      <c r="F259" s="69">
        <v>1377.7099999999998</v>
      </c>
      <c r="G259" s="69">
        <v>405.35000000000008</v>
      </c>
      <c r="H259" s="257">
        <v>1723.4799999999998</v>
      </c>
      <c r="I259" s="257">
        <v>639.95000000000005</v>
      </c>
      <c r="J259" s="316">
        <v>2363.4299999999998</v>
      </c>
      <c r="L259" t="s">
        <v>99</v>
      </c>
      <c r="M259" s="258">
        <v>46062</v>
      </c>
      <c r="N259" s="252" t="s">
        <v>100</v>
      </c>
      <c r="P259" s="259">
        <v>68.5</v>
      </c>
    </row>
    <row r="260" spans="2:16" ht="15" customHeight="1" x14ac:dyDescent="0.2">
      <c r="B260" s="251" t="s">
        <v>36</v>
      </c>
      <c r="C260" s="254">
        <v>46064</v>
      </c>
      <c r="D260" s="315">
        <v>616.54999999999995</v>
      </c>
      <c r="E260" s="68">
        <v>236.95000000000002</v>
      </c>
      <c r="F260" s="69">
        <v>3839.32</v>
      </c>
      <c r="G260" s="69">
        <v>354.95000000000061</v>
      </c>
      <c r="H260" s="260">
        <v>4455.87</v>
      </c>
      <c r="I260" s="260">
        <v>591.90000000000066</v>
      </c>
      <c r="J260" s="317">
        <v>5047.7700000000004</v>
      </c>
      <c r="M260" s="252"/>
      <c r="N260" s="252" t="s">
        <v>189</v>
      </c>
      <c r="P260" s="259">
        <v>535</v>
      </c>
    </row>
    <row r="261" spans="2:16" ht="15" customHeight="1" x14ac:dyDescent="0.2">
      <c r="B261" s="251" t="s">
        <v>37</v>
      </c>
      <c r="C261" s="254">
        <v>46065</v>
      </c>
      <c r="D261" s="315">
        <v>545.17000000000007</v>
      </c>
      <c r="E261" s="68">
        <v>128.59999999999997</v>
      </c>
      <c r="F261" s="69">
        <v>3409.4700000000003</v>
      </c>
      <c r="G261" s="69">
        <v>831.84999999999934</v>
      </c>
      <c r="H261" s="260">
        <v>3954.6400000000003</v>
      </c>
      <c r="I261" s="260">
        <v>960.44999999999936</v>
      </c>
      <c r="J261" s="317">
        <v>4915.09</v>
      </c>
      <c r="M261" s="252"/>
      <c r="N261" s="252" t="s">
        <v>101</v>
      </c>
      <c r="P261" s="261">
        <v>10.5</v>
      </c>
    </row>
    <row r="262" spans="2:16" ht="15" customHeight="1" x14ac:dyDescent="0.2">
      <c r="B262" s="251" t="s">
        <v>38</v>
      </c>
      <c r="C262" s="254">
        <v>46066</v>
      </c>
      <c r="D262" s="315">
        <v>699.95</v>
      </c>
      <c r="E262" s="68">
        <v>415.35</v>
      </c>
      <c r="F262" s="69">
        <v>3923.25</v>
      </c>
      <c r="G262" s="69">
        <v>1034.8999999999996</v>
      </c>
      <c r="H262" s="260">
        <v>4623.2</v>
      </c>
      <c r="I262" s="260">
        <v>1450.2499999999995</v>
      </c>
      <c r="J262" s="317">
        <v>6073.4499999999989</v>
      </c>
      <c r="N262" s="252"/>
      <c r="P262" s="415"/>
    </row>
    <row r="263" spans="2:16" ht="15" customHeight="1" x14ac:dyDescent="0.2">
      <c r="B263" s="251" t="s">
        <v>40</v>
      </c>
      <c r="C263" s="254">
        <v>46067</v>
      </c>
      <c r="D263" s="315">
        <v>663.42000000000007</v>
      </c>
      <c r="E263" s="68">
        <v>475.05</v>
      </c>
      <c r="F263" s="69">
        <v>5012.18</v>
      </c>
      <c r="G263" s="69">
        <v>1577.9499999999998</v>
      </c>
      <c r="H263" s="257">
        <v>5675.6</v>
      </c>
      <c r="I263" s="257">
        <v>2053</v>
      </c>
      <c r="J263" s="316">
        <v>7728.6</v>
      </c>
    </row>
    <row r="264" spans="2:16" ht="15" customHeight="1" x14ac:dyDescent="0.2">
      <c r="B264" s="251" t="s">
        <v>41</v>
      </c>
      <c r="C264" s="254">
        <v>46068</v>
      </c>
      <c r="D264" s="315">
        <v>1101.8600000000001</v>
      </c>
      <c r="E264" s="68">
        <v>91.649999999999949</v>
      </c>
      <c r="F264" s="69">
        <v>2867.9000000000005</v>
      </c>
      <c r="G264" s="69">
        <v>625</v>
      </c>
      <c r="H264" s="257">
        <v>3969.7600000000007</v>
      </c>
      <c r="I264" s="257">
        <v>716.65</v>
      </c>
      <c r="J264" s="316">
        <v>4686.4100000000008</v>
      </c>
      <c r="L264" t="s">
        <v>102</v>
      </c>
      <c r="M264" s="258">
        <v>46063</v>
      </c>
      <c r="N264" s="252" t="s">
        <v>100</v>
      </c>
      <c r="P264" s="259">
        <v>72</v>
      </c>
    </row>
    <row r="265" spans="2:16" ht="15" customHeight="1" thickBot="1" x14ac:dyDescent="0.25">
      <c r="B265" s="566"/>
      <c r="C265" s="567"/>
      <c r="D265" s="318">
        <v>4535.42</v>
      </c>
      <c r="E265" s="310">
        <v>1756.35</v>
      </c>
      <c r="F265" s="310">
        <v>21945.13</v>
      </c>
      <c r="G265" s="310">
        <v>5012.25</v>
      </c>
      <c r="H265" s="319">
        <v>26480.550000000003</v>
      </c>
      <c r="I265" s="320">
        <v>6768.5999999999985</v>
      </c>
      <c r="J265" s="321">
        <v>33249.15</v>
      </c>
      <c r="N265" t="s">
        <v>101</v>
      </c>
      <c r="P265" s="261">
        <v>19.05</v>
      </c>
    </row>
    <row r="266" spans="2:16" ht="15" customHeight="1" thickBot="1" x14ac:dyDescent="0.25">
      <c r="C266" s="249"/>
      <c r="N266" s="252"/>
      <c r="P266" s="259"/>
    </row>
    <row r="267" spans="2:16" ht="15" customHeight="1" x14ac:dyDescent="0.2">
      <c r="B267" s="568" t="s">
        <v>206</v>
      </c>
      <c r="C267" s="569"/>
      <c r="D267" s="569"/>
      <c r="E267" s="570"/>
      <c r="N267" s="252"/>
      <c r="P267" s="259"/>
    </row>
    <row r="268" spans="2:16" ht="15" customHeight="1" x14ac:dyDescent="0.2">
      <c r="B268" s="263"/>
      <c r="C268" s="264" t="s">
        <v>50</v>
      </c>
      <c r="D268" s="264" t="s">
        <v>51</v>
      </c>
      <c r="E268" s="265" t="s">
        <v>104</v>
      </c>
      <c r="L268" t="s">
        <v>103</v>
      </c>
      <c r="M268" s="258">
        <v>46064</v>
      </c>
      <c r="N268" s="252" t="s">
        <v>100</v>
      </c>
      <c r="O268" s="262"/>
      <c r="P268" s="259">
        <v>86.5</v>
      </c>
    </row>
    <row r="269" spans="2:16" ht="15" customHeight="1" x14ac:dyDescent="0.2">
      <c r="B269" s="266"/>
      <c r="C269" s="267"/>
      <c r="D269" s="268"/>
      <c r="E269" s="269"/>
      <c r="M269" s="258"/>
      <c r="N269" t="s">
        <v>101</v>
      </c>
      <c r="P269" s="261">
        <v>10.95</v>
      </c>
    </row>
    <row r="270" spans="2:16" ht="15" customHeight="1" x14ac:dyDescent="0.2">
      <c r="B270" s="270" t="s">
        <v>54</v>
      </c>
      <c r="C270" s="267">
        <v>250</v>
      </c>
      <c r="D270" s="268"/>
      <c r="E270" s="269"/>
      <c r="G270" s="565"/>
      <c r="H270" s="565"/>
      <c r="I270" s="271"/>
      <c r="N270" s="252"/>
      <c r="P270" s="415"/>
    </row>
    <row r="271" spans="2:16" ht="15" customHeight="1" x14ac:dyDescent="0.2">
      <c r="B271" s="270" t="s">
        <v>66</v>
      </c>
      <c r="C271" s="267">
        <v>0</v>
      </c>
      <c r="D271" s="268"/>
      <c r="E271" s="269"/>
      <c r="G271" s="565"/>
      <c r="H271" s="565"/>
      <c r="I271" s="271"/>
      <c r="L271" t="s">
        <v>105</v>
      </c>
      <c r="M271" s="258">
        <v>46065</v>
      </c>
      <c r="N271" s="252" t="s">
        <v>100</v>
      </c>
      <c r="P271" s="259">
        <v>70</v>
      </c>
    </row>
    <row r="272" spans="2:16" ht="15" customHeight="1" thickBot="1" x14ac:dyDescent="0.25">
      <c r="B272" s="272" t="s">
        <v>55</v>
      </c>
      <c r="C272" s="267">
        <v>1250</v>
      </c>
      <c r="D272" s="268">
        <v>962</v>
      </c>
      <c r="E272" s="269"/>
      <c r="N272" s="252" t="s">
        <v>210</v>
      </c>
      <c r="P272" s="415">
        <v>22</v>
      </c>
    </row>
    <row r="273" spans="2:19" ht="15" customHeight="1" x14ac:dyDescent="0.2">
      <c r="B273" s="275" t="s">
        <v>56</v>
      </c>
      <c r="C273" s="267">
        <v>1200</v>
      </c>
      <c r="D273" s="268"/>
      <c r="E273" s="269"/>
      <c r="G273" s="571"/>
      <c r="H273" s="572"/>
      <c r="I273" s="413"/>
      <c r="J273" s="414"/>
      <c r="N273" s="252" t="s">
        <v>101</v>
      </c>
      <c r="P273" s="415">
        <v>240.75</v>
      </c>
    </row>
    <row r="274" spans="2:19" ht="15" customHeight="1" x14ac:dyDescent="0.2">
      <c r="B274" s="272" t="s">
        <v>58</v>
      </c>
      <c r="C274" s="267">
        <v>1075</v>
      </c>
      <c r="D274" s="268">
        <v>1145</v>
      </c>
      <c r="E274" s="269"/>
      <c r="G274" s="564" t="s">
        <v>208</v>
      </c>
      <c r="H274" s="565"/>
      <c r="I274" s="412">
        <v>300</v>
      </c>
      <c r="J274" s="281"/>
      <c r="N274" s="118" t="s">
        <v>211</v>
      </c>
      <c r="P274" s="261">
        <v>6.99</v>
      </c>
    </row>
    <row r="275" spans="2:19" ht="15" customHeight="1" x14ac:dyDescent="0.2">
      <c r="B275" s="275" t="s">
        <v>61</v>
      </c>
      <c r="C275" s="267">
        <v>960</v>
      </c>
      <c r="D275" s="268"/>
      <c r="E275" s="278"/>
      <c r="G275" s="564" t="s">
        <v>106</v>
      </c>
      <c r="H275" s="565"/>
      <c r="I275" s="277">
        <v>70</v>
      </c>
      <c r="J275" s="506">
        <v>46061</v>
      </c>
      <c r="N275" s="252" t="s">
        <v>173</v>
      </c>
      <c r="P275" s="261">
        <v>52</v>
      </c>
    </row>
    <row r="276" spans="2:19" ht="15" customHeight="1" x14ac:dyDescent="0.2">
      <c r="B276" s="270" t="s">
        <v>63</v>
      </c>
      <c r="C276" s="267">
        <v>580</v>
      </c>
      <c r="D276" s="268">
        <v>250</v>
      </c>
      <c r="E276" s="269"/>
      <c r="G276" s="280" t="s">
        <v>108</v>
      </c>
      <c r="I276" s="385">
        <v>6768.6</v>
      </c>
      <c r="J276" s="281"/>
    </row>
    <row r="277" spans="2:19" ht="15" customHeight="1" x14ac:dyDescent="0.2">
      <c r="B277" s="275" t="s">
        <v>65</v>
      </c>
      <c r="C277" s="267">
        <v>230</v>
      </c>
      <c r="D277" s="268"/>
      <c r="E277" s="269"/>
      <c r="G277" s="280" t="s">
        <v>109</v>
      </c>
      <c r="I277" s="405">
        <v>1500</v>
      </c>
      <c r="J277" s="282"/>
      <c r="K277" s="118"/>
      <c r="L277" t="s">
        <v>107</v>
      </c>
      <c r="M277" s="258">
        <v>46066</v>
      </c>
      <c r="N277" s="252" t="s">
        <v>100</v>
      </c>
      <c r="P277" s="259">
        <v>87.5</v>
      </c>
    </row>
    <row r="278" spans="2:19" ht="15" customHeight="1" x14ac:dyDescent="0.2">
      <c r="B278" s="275" t="s">
        <v>68</v>
      </c>
      <c r="C278" s="267">
        <v>480</v>
      </c>
      <c r="D278" s="268"/>
      <c r="E278" s="269"/>
      <c r="G278" s="564"/>
      <c r="H278" s="565"/>
      <c r="I278" s="271"/>
      <c r="J278" s="281"/>
      <c r="N278" s="252" t="s">
        <v>212</v>
      </c>
      <c r="P278" s="261">
        <v>36</v>
      </c>
    </row>
    <row r="279" spans="2:19" ht="15" customHeight="1" x14ac:dyDescent="0.2">
      <c r="B279" s="275" t="s">
        <v>67</v>
      </c>
      <c r="C279" s="267">
        <v>120</v>
      </c>
      <c r="D279" s="268"/>
      <c r="E279" s="269"/>
      <c r="G279" s="280"/>
      <c r="H279" s="283" t="s">
        <v>110</v>
      </c>
      <c r="I279" s="284">
        <f>SUM(I273:I278)</f>
        <v>8638.6</v>
      </c>
      <c r="J279" s="281"/>
      <c r="M279" s="118"/>
      <c r="N279" s="393" t="s">
        <v>101</v>
      </c>
      <c r="O279" s="118"/>
      <c r="P279" s="394">
        <v>31.55</v>
      </c>
    </row>
    <row r="280" spans="2:19" ht="15" customHeight="1" x14ac:dyDescent="0.2">
      <c r="B280" s="272"/>
      <c r="C280" s="267">
        <v>0</v>
      </c>
      <c r="D280" s="268"/>
      <c r="E280" s="269"/>
      <c r="G280" s="280"/>
      <c r="H280" s="283"/>
      <c r="I280" s="283"/>
      <c r="J280" s="281"/>
      <c r="N280" s="252" t="s">
        <v>101</v>
      </c>
      <c r="P280" s="415">
        <v>3.8</v>
      </c>
      <c r="Q280" s="118"/>
      <c r="R280" s="118"/>
    </row>
    <row r="281" spans="2:19" ht="15" customHeight="1" x14ac:dyDescent="0.2">
      <c r="B281" s="272" t="s">
        <v>69</v>
      </c>
      <c r="C281" s="267">
        <v>1205</v>
      </c>
      <c r="D281" s="268">
        <v>800</v>
      </c>
      <c r="E281" s="269"/>
      <c r="G281" s="280"/>
      <c r="J281" s="281"/>
      <c r="N281" s="252" t="s">
        <v>213</v>
      </c>
      <c r="P281" s="415">
        <v>18.149999999999999</v>
      </c>
    </row>
    <row r="282" spans="2:19" ht="15" customHeight="1" x14ac:dyDescent="0.2">
      <c r="B282" s="272" t="s">
        <v>70</v>
      </c>
      <c r="C282" s="267">
        <v>405</v>
      </c>
      <c r="D282" s="268"/>
      <c r="E282" s="269"/>
      <c r="G282" s="276"/>
      <c r="H282" s="285"/>
      <c r="I282" s="285"/>
      <c r="J282" s="281"/>
    </row>
    <row r="283" spans="2:19" ht="15" customHeight="1" x14ac:dyDescent="0.2">
      <c r="B283" s="272" t="s">
        <v>71</v>
      </c>
      <c r="C283" s="267">
        <v>455</v>
      </c>
      <c r="D283" s="268"/>
      <c r="E283" s="269"/>
      <c r="G283" s="564"/>
      <c r="H283" s="565"/>
      <c r="I283" s="277"/>
      <c r="J283" s="279"/>
      <c r="Q283" s="560"/>
      <c r="R283" s="560"/>
      <c r="S283" s="560"/>
    </row>
    <row r="284" spans="2:19" ht="15" customHeight="1" x14ac:dyDescent="0.2">
      <c r="B284" s="272" t="s">
        <v>72</v>
      </c>
      <c r="C284" s="267">
        <v>549</v>
      </c>
      <c r="D284" s="268">
        <v>250</v>
      </c>
      <c r="E284" s="269"/>
      <c r="G284" s="276" t="s">
        <v>112</v>
      </c>
      <c r="I284" s="277">
        <v>70</v>
      </c>
      <c r="J284" s="506">
        <v>46068</v>
      </c>
      <c r="L284" t="s">
        <v>111</v>
      </c>
      <c r="M284" s="258">
        <v>46067</v>
      </c>
      <c r="N284" s="252" t="s">
        <v>100</v>
      </c>
      <c r="P284" s="259">
        <v>104.5</v>
      </c>
    </row>
    <row r="285" spans="2:19" ht="15" customHeight="1" x14ac:dyDescent="0.2">
      <c r="B285" s="272" t="s">
        <v>74</v>
      </c>
      <c r="C285" s="267">
        <v>441</v>
      </c>
      <c r="D285" s="268"/>
      <c r="E285" s="269"/>
      <c r="G285" s="280" t="s">
        <v>113</v>
      </c>
      <c r="I285" s="287">
        <v>1650.14</v>
      </c>
      <c r="J285" s="281"/>
      <c r="N285" s="252" t="s">
        <v>142</v>
      </c>
      <c r="P285" s="261">
        <v>2.8</v>
      </c>
    </row>
    <row r="286" spans="2:19" ht="15" customHeight="1" thickBot="1" x14ac:dyDescent="0.25">
      <c r="B286" s="272" t="s">
        <v>75</v>
      </c>
      <c r="C286" s="267">
        <v>205</v>
      </c>
      <c r="D286" s="268"/>
      <c r="E286" s="269"/>
      <c r="G286" s="280" t="s">
        <v>114</v>
      </c>
      <c r="I286" s="307">
        <v>6784</v>
      </c>
      <c r="J286" s="281"/>
      <c r="N286" s="252" t="s">
        <v>173</v>
      </c>
      <c r="P286" s="261">
        <v>52</v>
      </c>
    </row>
    <row r="287" spans="2:19" ht="15" customHeight="1" x14ac:dyDescent="0.2">
      <c r="B287" s="272" t="s">
        <v>78</v>
      </c>
      <c r="C287" s="267">
        <v>100</v>
      </c>
      <c r="D287" s="268"/>
      <c r="E287" s="269"/>
      <c r="G287" s="280"/>
      <c r="J287" s="281"/>
      <c r="N287" s="252" t="s">
        <v>101</v>
      </c>
      <c r="P287" s="261">
        <v>10</v>
      </c>
      <c r="Q287" s="560"/>
      <c r="R287" s="560"/>
      <c r="S287" s="560"/>
    </row>
    <row r="288" spans="2:19" ht="15" customHeight="1" x14ac:dyDescent="0.2">
      <c r="B288" s="272" t="s">
        <v>79</v>
      </c>
      <c r="C288" s="267">
        <v>589</v>
      </c>
      <c r="D288" s="268"/>
      <c r="E288" s="269"/>
      <c r="G288" s="280"/>
      <c r="H288" s="283" t="s">
        <v>115</v>
      </c>
      <c r="I288" s="284">
        <f>SUM(I282:I286)</f>
        <v>8504.14</v>
      </c>
      <c r="J288" s="281"/>
      <c r="N288" s="252"/>
      <c r="P288" s="261"/>
    </row>
    <row r="289" spans="2:17" ht="15" customHeight="1" x14ac:dyDescent="0.2">
      <c r="B289" s="289" t="s">
        <v>200</v>
      </c>
      <c r="C289" s="267">
        <v>0</v>
      </c>
      <c r="D289" s="286"/>
      <c r="E289" s="278"/>
      <c r="G289" s="280"/>
      <c r="J289" s="281"/>
      <c r="K289" t="s">
        <v>116</v>
      </c>
      <c r="L289" t="s">
        <v>118</v>
      </c>
      <c r="M289" s="258">
        <v>46068</v>
      </c>
      <c r="N289" s="252" t="s">
        <v>100</v>
      </c>
      <c r="P289" s="259">
        <v>70</v>
      </c>
    </row>
    <row r="290" spans="2:17" ht="15" customHeight="1" x14ac:dyDescent="0.2">
      <c r="B290" s="289" t="s">
        <v>205</v>
      </c>
      <c r="C290" s="267">
        <v>97</v>
      </c>
      <c r="D290" s="286"/>
      <c r="E290" s="278"/>
      <c r="G290" s="290" t="s">
        <v>117</v>
      </c>
      <c r="H290" s="291"/>
      <c r="I290" s="292">
        <f>I279-I288</f>
        <v>134.46000000000095</v>
      </c>
      <c r="J290" s="293"/>
      <c r="N290" s="252" t="s">
        <v>101</v>
      </c>
      <c r="P290" s="261">
        <v>39.6</v>
      </c>
    </row>
    <row r="291" spans="2:17" ht="15" customHeight="1" x14ac:dyDescent="0.2">
      <c r="B291" s="289"/>
      <c r="C291" s="286"/>
      <c r="D291" s="286"/>
      <c r="E291" s="278"/>
      <c r="G291" s="280"/>
      <c r="I291" s="294"/>
      <c r="J291" s="281"/>
    </row>
    <row r="292" spans="2:17" ht="15" customHeight="1" x14ac:dyDescent="0.2">
      <c r="B292" s="289"/>
      <c r="C292" s="286"/>
      <c r="D292" s="286"/>
      <c r="E292" s="278"/>
      <c r="G292" s="289" t="s">
        <v>119</v>
      </c>
      <c r="I292" s="284">
        <v>134.44999999999999</v>
      </c>
      <c r="J292" s="281"/>
      <c r="N292" s="252"/>
      <c r="P292" s="261"/>
    </row>
    <row r="293" spans="2:17" ht="15" customHeight="1" thickBot="1" x14ac:dyDescent="0.25">
      <c r="B293" s="295" t="s">
        <v>120</v>
      </c>
      <c r="C293" s="296">
        <f>SUM(C269:C292)</f>
        <v>10191</v>
      </c>
      <c r="D293" s="297"/>
      <c r="E293" s="298"/>
      <c r="G293" s="299"/>
      <c r="H293" s="300"/>
      <c r="I293" s="561"/>
      <c r="J293" s="562"/>
      <c r="M293" s="252"/>
      <c r="P293" s="259"/>
    </row>
    <row r="294" spans="2:17" x14ac:dyDescent="0.2">
      <c r="B294" s="301" t="s">
        <v>121</v>
      </c>
      <c r="C294" s="267">
        <f>SUM(D270:E289)</f>
        <v>3407</v>
      </c>
      <c r="D294" s="302"/>
      <c r="E294" s="303"/>
      <c r="L294" t="s">
        <v>116</v>
      </c>
      <c r="M294" s="252"/>
      <c r="N294" s="304" t="s">
        <v>122</v>
      </c>
      <c r="P294" s="305">
        <f>SUM(P259:P293)</f>
        <v>1650.1399999999999</v>
      </c>
    </row>
    <row r="295" spans="2:17" ht="15" thickBot="1" x14ac:dyDescent="0.25">
      <c r="B295" s="306" t="s">
        <v>123</v>
      </c>
      <c r="C295" s="307">
        <f>C293-C294</f>
        <v>6784</v>
      </c>
      <c r="D295" s="308"/>
      <c r="E295" s="309"/>
      <c r="G295" s="563"/>
      <c r="H295" s="563"/>
      <c r="I295" s="563"/>
      <c r="J295" s="563"/>
      <c r="M295" s="252"/>
    </row>
    <row r="297" spans="2:17" ht="15" customHeight="1" x14ac:dyDescent="0.2">
      <c r="C297" s="249"/>
      <c r="D297" s="573" t="s">
        <v>95</v>
      </c>
      <c r="E297" s="573"/>
      <c r="F297" s="573" t="s">
        <v>5</v>
      </c>
      <c r="G297" s="573"/>
      <c r="H297" s="573" t="s">
        <v>29</v>
      </c>
      <c r="I297" s="573"/>
      <c r="J297" s="250"/>
      <c r="L297" s="574" t="s">
        <v>216</v>
      </c>
      <c r="M297" s="574"/>
      <c r="N297" s="574"/>
      <c r="O297" s="574"/>
      <c r="P297" s="574"/>
      <c r="Q297" s="574"/>
    </row>
    <row r="298" spans="2:17" ht="15" customHeight="1" thickBot="1" x14ac:dyDescent="0.25">
      <c r="B298" s="566"/>
      <c r="C298" s="575"/>
      <c r="D298" s="311" t="s">
        <v>96</v>
      </c>
      <c r="E298" s="311" t="s">
        <v>31</v>
      </c>
      <c r="F298" s="311" t="s">
        <v>96</v>
      </c>
      <c r="G298" s="311" t="s">
        <v>31</v>
      </c>
      <c r="H298" s="311" t="s">
        <v>96</v>
      </c>
      <c r="I298" s="311" t="s">
        <v>31</v>
      </c>
      <c r="J298" s="311" t="s">
        <v>97</v>
      </c>
      <c r="M298" s="252"/>
      <c r="N298" s="252"/>
      <c r="P298" s="253" t="s">
        <v>98</v>
      </c>
    </row>
    <row r="299" spans="2:17" ht="15" customHeight="1" x14ac:dyDescent="0.2">
      <c r="B299" s="251" t="s">
        <v>34</v>
      </c>
      <c r="C299" s="254">
        <v>46069</v>
      </c>
      <c r="D299" s="312">
        <v>555.1</v>
      </c>
      <c r="E299" s="255">
        <v>144.10000000000008</v>
      </c>
      <c r="F299" s="256">
        <v>2509.61</v>
      </c>
      <c r="G299" s="256">
        <v>144.69999999999982</v>
      </c>
      <c r="H299" s="313">
        <v>3064.71</v>
      </c>
      <c r="I299" s="313">
        <v>288.7999999999999</v>
      </c>
      <c r="J299" s="314">
        <v>3353.5099999999998</v>
      </c>
    </row>
    <row r="300" spans="2:17" ht="15" customHeight="1" x14ac:dyDescent="0.2">
      <c r="B300" s="251" t="s">
        <v>35</v>
      </c>
      <c r="C300" s="254">
        <v>46070</v>
      </c>
      <c r="D300" s="315">
        <v>550.73</v>
      </c>
      <c r="E300" s="68">
        <v>510.99999999999994</v>
      </c>
      <c r="F300" s="69">
        <v>2101.91</v>
      </c>
      <c r="G300" s="69">
        <v>473.10000000000031</v>
      </c>
      <c r="H300" s="257">
        <v>2652.64</v>
      </c>
      <c r="I300" s="257">
        <v>984.10000000000025</v>
      </c>
      <c r="J300" s="316">
        <v>3636.7400000000002</v>
      </c>
      <c r="L300" t="s">
        <v>99</v>
      </c>
      <c r="M300" s="258">
        <v>46069</v>
      </c>
      <c r="N300" s="252" t="s">
        <v>100</v>
      </c>
      <c r="P300" s="259">
        <v>80</v>
      </c>
    </row>
    <row r="301" spans="2:17" ht="15" customHeight="1" x14ac:dyDescent="0.2">
      <c r="B301" s="251" t="s">
        <v>36</v>
      </c>
      <c r="C301" s="254">
        <v>46071</v>
      </c>
      <c r="D301" s="315">
        <v>464.18</v>
      </c>
      <c r="E301" s="68">
        <v>225.24999999999994</v>
      </c>
      <c r="F301" s="69">
        <v>2063.0699999999997</v>
      </c>
      <c r="G301" s="69">
        <v>1358.8999999999999</v>
      </c>
      <c r="H301" s="260">
        <v>2527.2499999999995</v>
      </c>
      <c r="I301" s="260">
        <v>1584.1499999999999</v>
      </c>
      <c r="J301" s="317">
        <v>4111.3999999999996</v>
      </c>
      <c r="M301" s="252"/>
      <c r="N301" s="252" t="s">
        <v>189</v>
      </c>
      <c r="P301" s="259">
        <v>396</v>
      </c>
    </row>
    <row r="302" spans="2:17" ht="15" customHeight="1" x14ac:dyDescent="0.2">
      <c r="B302" s="251" t="s">
        <v>37</v>
      </c>
      <c r="C302" s="254">
        <v>46072</v>
      </c>
      <c r="D302" s="315">
        <v>457.2</v>
      </c>
      <c r="E302" s="68">
        <v>384.45</v>
      </c>
      <c r="F302" s="69">
        <v>2470.44</v>
      </c>
      <c r="G302" s="69">
        <v>322.19999999999982</v>
      </c>
      <c r="H302" s="260">
        <v>2927.64</v>
      </c>
      <c r="I302" s="260">
        <v>706.64999999999986</v>
      </c>
      <c r="J302" s="317">
        <v>3634.29</v>
      </c>
      <c r="M302" s="252"/>
      <c r="N302" t="s">
        <v>101</v>
      </c>
      <c r="P302" s="415">
        <v>65.8</v>
      </c>
    </row>
    <row r="303" spans="2:17" ht="15" customHeight="1" x14ac:dyDescent="0.2">
      <c r="B303" s="251" t="s">
        <v>38</v>
      </c>
      <c r="C303" s="254">
        <v>46073</v>
      </c>
      <c r="D303" s="315">
        <v>1129.01</v>
      </c>
      <c r="E303" s="68">
        <v>269.54999999999984</v>
      </c>
      <c r="F303" s="69">
        <v>4484.1100000000006</v>
      </c>
      <c r="G303" s="69">
        <v>1407.5999999999995</v>
      </c>
      <c r="H303" s="260">
        <v>5613.1200000000008</v>
      </c>
      <c r="I303" s="260">
        <v>1677.1499999999992</v>
      </c>
      <c r="J303" s="317">
        <v>7290.27</v>
      </c>
      <c r="N303" s="252"/>
      <c r="P303" s="415"/>
    </row>
    <row r="304" spans="2:17" ht="15" customHeight="1" x14ac:dyDescent="0.2">
      <c r="B304" s="251" t="s">
        <v>40</v>
      </c>
      <c r="C304" s="254">
        <v>46074</v>
      </c>
      <c r="D304" s="315">
        <v>902.76</v>
      </c>
      <c r="E304" s="68">
        <v>552.45000000000005</v>
      </c>
      <c r="F304" s="69">
        <v>3888.1</v>
      </c>
      <c r="G304" s="69">
        <v>1118.4500000000003</v>
      </c>
      <c r="H304" s="257">
        <v>4790.8599999999997</v>
      </c>
      <c r="I304" s="257">
        <v>1670.9000000000003</v>
      </c>
      <c r="J304" s="316">
        <v>6461.76</v>
      </c>
    </row>
    <row r="305" spans="2:16" ht="15" customHeight="1" x14ac:dyDescent="0.2">
      <c r="B305" s="251" t="s">
        <v>41</v>
      </c>
      <c r="C305" s="254">
        <v>46075</v>
      </c>
      <c r="D305" s="315">
        <v>960.14</v>
      </c>
      <c r="E305" s="68">
        <v>962.95000000000016</v>
      </c>
      <c r="F305" s="69">
        <v>2446.1999999999998</v>
      </c>
      <c r="G305" s="69">
        <v>503.03000000000003</v>
      </c>
      <c r="H305" s="257">
        <v>3406.3399999999997</v>
      </c>
      <c r="I305" s="257">
        <v>1465.9800000000002</v>
      </c>
      <c r="J305" s="316">
        <v>4872.32</v>
      </c>
      <c r="L305" t="s">
        <v>102</v>
      </c>
      <c r="M305" s="258">
        <v>46070</v>
      </c>
      <c r="N305" s="252" t="s">
        <v>100</v>
      </c>
      <c r="P305" s="259">
        <v>83</v>
      </c>
    </row>
    <row r="306" spans="2:16" ht="15" customHeight="1" thickBot="1" x14ac:dyDescent="0.25">
      <c r="B306" s="566"/>
      <c r="C306" s="567"/>
      <c r="D306" s="318">
        <v>5019.1200000000008</v>
      </c>
      <c r="E306" s="310">
        <v>3049.7500000000005</v>
      </c>
      <c r="F306" s="310">
        <v>19963.440000000002</v>
      </c>
      <c r="G306" s="310">
        <v>5327.9799999999987</v>
      </c>
      <c r="H306" s="319">
        <v>24982.560000000001</v>
      </c>
      <c r="I306" s="320">
        <v>8377.73</v>
      </c>
      <c r="J306" s="321">
        <v>33360.29</v>
      </c>
      <c r="N306" t="s">
        <v>179</v>
      </c>
      <c r="P306" s="261">
        <v>36</v>
      </c>
    </row>
    <row r="307" spans="2:16" ht="15" customHeight="1" thickBot="1" x14ac:dyDescent="0.25">
      <c r="C307" s="249"/>
      <c r="N307" s="252"/>
      <c r="P307" s="259"/>
    </row>
    <row r="308" spans="2:16" ht="15" customHeight="1" x14ac:dyDescent="0.2">
      <c r="B308" s="568" t="s">
        <v>217</v>
      </c>
      <c r="C308" s="569"/>
      <c r="D308" s="569"/>
      <c r="E308" s="570"/>
      <c r="N308" s="252"/>
      <c r="P308" s="259"/>
    </row>
    <row r="309" spans="2:16" ht="15" customHeight="1" x14ac:dyDescent="0.2">
      <c r="B309" s="263"/>
      <c r="C309" s="264" t="s">
        <v>50</v>
      </c>
      <c r="D309" s="264" t="s">
        <v>51</v>
      </c>
      <c r="E309" s="265" t="s">
        <v>104</v>
      </c>
      <c r="L309" t="s">
        <v>103</v>
      </c>
      <c r="M309" s="258">
        <v>46071</v>
      </c>
      <c r="N309" s="252" t="s">
        <v>100</v>
      </c>
      <c r="O309" s="262"/>
      <c r="P309" s="259">
        <v>63</v>
      </c>
    </row>
    <row r="310" spans="2:16" ht="15" customHeight="1" x14ac:dyDescent="0.2">
      <c r="B310" s="266"/>
      <c r="C310" s="267"/>
      <c r="D310" s="268"/>
      <c r="E310" s="269"/>
      <c r="M310" s="258"/>
      <c r="N310" s="252" t="s">
        <v>101</v>
      </c>
      <c r="P310" s="261">
        <v>298.14999999999998</v>
      </c>
    </row>
    <row r="311" spans="2:16" ht="15" customHeight="1" x14ac:dyDescent="0.2">
      <c r="B311" s="270" t="s">
        <v>54</v>
      </c>
      <c r="C311" s="267">
        <v>250</v>
      </c>
      <c r="D311" s="268"/>
      <c r="E311" s="269"/>
      <c r="G311" s="565"/>
      <c r="H311" s="565"/>
      <c r="I311" s="271"/>
      <c r="N311" s="252" t="s">
        <v>178</v>
      </c>
      <c r="P311" s="415">
        <v>88</v>
      </c>
    </row>
    <row r="312" spans="2:16" ht="15" customHeight="1" x14ac:dyDescent="0.2">
      <c r="B312" s="270" t="s">
        <v>66</v>
      </c>
      <c r="C312" s="267">
        <v>0</v>
      </c>
      <c r="D312" s="268"/>
      <c r="E312" s="269"/>
      <c r="G312" s="565"/>
      <c r="H312" s="565"/>
      <c r="I312" s="271"/>
    </row>
    <row r="313" spans="2:16" ht="15" customHeight="1" thickBot="1" x14ac:dyDescent="0.25">
      <c r="B313" s="272" t="s">
        <v>55</v>
      </c>
      <c r="C313" s="267">
        <v>1250</v>
      </c>
      <c r="D313" s="268">
        <v>962</v>
      </c>
      <c r="E313" s="269"/>
    </row>
    <row r="314" spans="2:16" ht="15" customHeight="1" x14ac:dyDescent="0.2">
      <c r="B314" s="275" t="s">
        <v>56</v>
      </c>
      <c r="C314" s="267">
        <v>1200</v>
      </c>
      <c r="D314" s="268"/>
      <c r="E314" s="269"/>
      <c r="G314" s="571"/>
      <c r="H314" s="572"/>
      <c r="I314" s="413"/>
      <c r="J314" s="414"/>
      <c r="L314" t="s">
        <v>105</v>
      </c>
      <c r="M314" s="258">
        <v>46072</v>
      </c>
      <c r="N314" s="252" t="s">
        <v>100</v>
      </c>
      <c r="P314" s="259">
        <v>65</v>
      </c>
    </row>
    <row r="315" spans="2:16" ht="15" customHeight="1" x14ac:dyDescent="0.2">
      <c r="B315" s="272" t="s">
        <v>58</v>
      </c>
      <c r="C315" s="267">
        <v>1075</v>
      </c>
      <c r="D315" s="268">
        <v>1145</v>
      </c>
      <c r="E315" s="269"/>
      <c r="G315" s="564" t="s">
        <v>222</v>
      </c>
      <c r="H315" s="565"/>
      <c r="I315" s="412">
        <v>300</v>
      </c>
      <c r="J315" s="278" t="s">
        <v>161</v>
      </c>
      <c r="N315" s="252" t="s">
        <v>101</v>
      </c>
      <c r="P315" s="415">
        <v>155.80000000000001</v>
      </c>
    </row>
    <row r="316" spans="2:16" ht="15" customHeight="1" x14ac:dyDescent="0.2">
      <c r="B316" s="275" t="s">
        <v>61</v>
      </c>
      <c r="C316" s="267">
        <v>960</v>
      </c>
      <c r="D316" s="268"/>
      <c r="E316" s="278"/>
      <c r="G316" s="564" t="s">
        <v>106</v>
      </c>
      <c r="H316" s="565"/>
      <c r="I316" s="277">
        <v>70</v>
      </c>
      <c r="J316" s="506">
        <v>46068</v>
      </c>
      <c r="P316" s="415"/>
    </row>
    <row r="317" spans="2:16" ht="15" customHeight="1" x14ac:dyDescent="0.2">
      <c r="B317" s="270" t="s">
        <v>63</v>
      </c>
      <c r="C317" s="267">
        <v>580</v>
      </c>
      <c r="D317" s="268">
        <v>250</v>
      </c>
      <c r="E317" s="269"/>
      <c r="G317" s="280" t="s">
        <v>108</v>
      </c>
      <c r="I317" s="385">
        <v>8377.73</v>
      </c>
      <c r="J317" s="281"/>
    </row>
    <row r="318" spans="2:16" ht="15" customHeight="1" x14ac:dyDescent="0.2">
      <c r="B318" s="275" t="s">
        <v>65</v>
      </c>
      <c r="C318" s="267">
        <v>345</v>
      </c>
      <c r="D318" s="268"/>
      <c r="E318" s="269"/>
      <c r="G318" s="280" t="s">
        <v>109</v>
      </c>
      <c r="I318" s="405"/>
      <c r="J318" s="282"/>
      <c r="K318" s="118"/>
      <c r="L318" t="s">
        <v>107</v>
      </c>
      <c r="M318" s="258">
        <v>46073</v>
      </c>
      <c r="N318" s="252" t="s">
        <v>100</v>
      </c>
      <c r="P318" s="259">
        <v>96.5</v>
      </c>
    </row>
    <row r="319" spans="2:16" ht="15" customHeight="1" x14ac:dyDescent="0.2">
      <c r="B319" s="275" t="s">
        <v>68</v>
      </c>
      <c r="C319" s="267">
        <v>480</v>
      </c>
      <c r="D319" s="268"/>
      <c r="E319" s="269"/>
      <c r="G319" s="564"/>
      <c r="H319" s="565"/>
      <c r="I319" s="271"/>
      <c r="J319" s="281"/>
      <c r="N319" s="252" t="s">
        <v>218</v>
      </c>
      <c r="P319" s="261">
        <v>30</v>
      </c>
    </row>
    <row r="320" spans="2:16" ht="15" customHeight="1" x14ac:dyDescent="0.2">
      <c r="B320" s="275"/>
      <c r="C320" s="267">
        <v>0</v>
      </c>
      <c r="D320" s="268"/>
      <c r="E320" s="269"/>
      <c r="G320" s="280"/>
      <c r="H320" s="283" t="s">
        <v>110</v>
      </c>
      <c r="I320" s="284">
        <f>SUM(I314:I319)</f>
        <v>8747.73</v>
      </c>
      <c r="J320" s="281"/>
      <c r="M320" s="118"/>
      <c r="N320" s="393"/>
      <c r="O320" s="118"/>
      <c r="P320" s="394"/>
    </row>
    <row r="321" spans="2:19" ht="15" customHeight="1" x14ac:dyDescent="0.2">
      <c r="B321" s="272"/>
      <c r="C321" s="267">
        <v>0</v>
      </c>
      <c r="D321" s="268"/>
      <c r="E321" s="269"/>
      <c r="G321" s="280"/>
      <c r="H321" s="283"/>
      <c r="I321" s="283"/>
      <c r="J321" s="281"/>
      <c r="N321" s="252"/>
      <c r="P321" s="415"/>
      <c r="Q321" s="118"/>
      <c r="R321" s="118"/>
    </row>
    <row r="322" spans="2:19" ht="15" customHeight="1" x14ac:dyDescent="0.2">
      <c r="B322" s="272" t="s">
        <v>69</v>
      </c>
      <c r="C322" s="267">
        <v>1220</v>
      </c>
      <c r="D322" s="268">
        <v>800</v>
      </c>
      <c r="E322" s="269"/>
      <c r="G322" s="280"/>
      <c r="J322" s="281"/>
      <c r="N322" s="252"/>
      <c r="P322" s="415"/>
    </row>
    <row r="323" spans="2:19" ht="15" customHeight="1" x14ac:dyDescent="0.2">
      <c r="B323" s="272" t="s">
        <v>70</v>
      </c>
      <c r="C323" s="267">
        <v>389</v>
      </c>
      <c r="D323" s="268"/>
      <c r="E323" s="269"/>
      <c r="G323" s="276"/>
      <c r="H323" s="285"/>
      <c r="I323" s="285"/>
      <c r="J323" s="281"/>
    </row>
    <row r="324" spans="2:19" ht="15" customHeight="1" x14ac:dyDescent="0.2">
      <c r="B324" s="272" t="s">
        <v>71</v>
      </c>
      <c r="C324" s="267">
        <v>400</v>
      </c>
      <c r="D324" s="268"/>
      <c r="E324" s="269"/>
      <c r="G324" s="564"/>
      <c r="H324" s="565"/>
      <c r="I324" s="277"/>
      <c r="J324" s="279"/>
      <c r="Q324" s="560"/>
      <c r="R324" s="560"/>
      <c r="S324" s="560"/>
    </row>
    <row r="325" spans="2:19" ht="15" customHeight="1" x14ac:dyDescent="0.2">
      <c r="B325" s="272" t="s">
        <v>72</v>
      </c>
      <c r="C325" s="267">
        <v>452</v>
      </c>
      <c r="D325" s="268">
        <v>250</v>
      </c>
      <c r="E325" s="269"/>
      <c r="G325" s="276" t="s">
        <v>112</v>
      </c>
      <c r="I325" s="277">
        <v>70</v>
      </c>
      <c r="J325" s="506">
        <v>46075</v>
      </c>
      <c r="L325" t="s">
        <v>111</v>
      </c>
      <c r="M325" s="258">
        <v>46074</v>
      </c>
      <c r="N325" s="252" t="s">
        <v>100</v>
      </c>
      <c r="P325" s="259">
        <v>85</v>
      </c>
    </row>
    <row r="326" spans="2:19" ht="15" customHeight="1" x14ac:dyDescent="0.2">
      <c r="B326" s="272" t="s">
        <v>74</v>
      </c>
      <c r="C326" s="267">
        <v>624</v>
      </c>
      <c r="D326" s="268"/>
      <c r="E326" s="269"/>
      <c r="G326" s="280" t="s">
        <v>113</v>
      </c>
      <c r="I326" s="287">
        <v>1693.05</v>
      </c>
      <c r="J326" s="281"/>
      <c r="N326" s="252" t="s">
        <v>101</v>
      </c>
      <c r="P326" s="261">
        <v>44.8</v>
      </c>
    </row>
    <row r="327" spans="2:19" ht="15" customHeight="1" thickBot="1" x14ac:dyDescent="0.25">
      <c r="B327" s="272" t="s">
        <v>75</v>
      </c>
      <c r="C327" s="267">
        <v>100</v>
      </c>
      <c r="D327" s="268"/>
      <c r="E327" s="269"/>
      <c r="G327" s="280" t="s">
        <v>114</v>
      </c>
      <c r="I327" s="307">
        <v>6692</v>
      </c>
      <c r="J327" s="281"/>
      <c r="N327" s="252" t="s">
        <v>101</v>
      </c>
      <c r="P327" s="261">
        <v>16</v>
      </c>
    </row>
    <row r="328" spans="2:19" ht="15" customHeight="1" x14ac:dyDescent="0.2">
      <c r="B328" s="272" t="s">
        <v>78</v>
      </c>
      <c r="C328" s="267">
        <v>100</v>
      </c>
      <c r="D328" s="268"/>
      <c r="E328" s="269"/>
      <c r="G328" s="280"/>
      <c r="J328" s="281"/>
      <c r="N328" s="252"/>
      <c r="P328" s="261"/>
      <c r="Q328" s="560"/>
      <c r="R328" s="560"/>
      <c r="S328" s="560"/>
    </row>
    <row r="329" spans="2:19" ht="15" customHeight="1" x14ac:dyDescent="0.2">
      <c r="B329" s="272" t="s">
        <v>79</v>
      </c>
      <c r="C329" s="267">
        <v>584</v>
      </c>
      <c r="D329" s="268"/>
      <c r="E329" s="269"/>
      <c r="G329" s="280"/>
      <c r="H329" s="283" t="s">
        <v>115</v>
      </c>
      <c r="I329" s="284">
        <f>SUM(I323:I327)</f>
        <v>8455.0499999999993</v>
      </c>
      <c r="J329" s="281"/>
      <c r="N329" s="252"/>
      <c r="P329" s="261"/>
    </row>
    <row r="330" spans="2:19" ht="15" customHeight="1" x14ac:dyDescent="0.2">
      <c r="B330" s="289" t="s">
        <v>200</v>
      </c>
      <c r="C330" s="267">
        <v>90</v>
      </c>
      <c r="D330" s="286"/>
      <c r="E330" s="278"/>
      <c r="G330" s="280"/>
      <c r="J330" s="281"/>
      <c r="K330" t="s">
        <v>116</v>
      </c>
      <c r="L330" t="s">
        <v>118</v>
      </c>
      <c r="M330" s="258">
        <v>46075</v>
      </c>
      <c r="N330" s="252" t="s">
        <v>100</v>
      </c>
      <c r="P330" s="259">
        <v>90</v>
      </c>
    </row>
    <row r="331" spans="2:19" ht="15" customHeight="1" x14ac:dyDescent="0.2">
      <c r="B331" s="289"/>
      <c r="C331" s="267"/>
      <c r="D331" s="286"/>
      <c r="E331" s="278"/>
      <c r="G331" s="290" t="s">
        <v>117</v>
      </c>
      <c r="H331" s="291"/>
      <c r="I331" s="292">
        <f>I320-I329</f>
        <v>292.68000000000029</v>
      </c>
      <c r="J331" s="293"/>
      <c r="N331" s="252"/>
      <c r="P331" s="261"/>
    </row>
    <row r="332" spans="2:19" ht="15" customHeight="1" x14ac:dyDescent="0.2">
      <c r="B332" s="289"/>
      <c r="C332" s="286"/>
      <c r="D332" s="286"/>
      <c r="E332" s="278"/>
      <c r="G332" s="280"/>
      <c r="I332" s="294"/>
      <c r="J332" s="281"/>
    </row>
    <row r="333" spans="2:19" ht="15" customHeight="1" x14ac:dyDescent="0.2">
      <c r="B333" s="289"/>
      <c r="C333" s="286"/>
      <c r="D333" s="286"/>
      <c r="E333" s="278"/>
      <c r="G333" s="289" t="s">
        <v>119</v>
      </c>
      <c r="I333" s="284">
        <v>292.64999999999998</v>
      </c>
      <c r="J333" s="281"/>
      <c r="N333" s="252"/>
      <c r="P333" s="261"/>
    </row>
    <row r="334" spans="2:19" ht="15" customHeight="1" thickBot="1" x14ac:dyDescent="0.25">
      <c r="B334" s="295" t="s">
        <v>120</v>
      </c>
      <c r="C334" s="296">
        <f>SUM(C310:C333)</f>
        <v>10099</v>
      </c>
      <c r="D334" s="297"/>
      <c r="E334" s="298"/>
      <c r="G334" s="299"/>
      <c r="H334" s="300"/>
      <c r="I334" s="561"/>
      <c r="J334" s="562"/>
      <c r="M334" s="252"/>
      <c r="P334" s="259"/>
    </row>
    <row r="335" spans="2:19" x14ac:dyDescent="0.2">
      <c r="B335" s="301" t="s">
        <v>121</v>
      </c>
      <c r="C335" s="267">
        <f>SUM(D311:E330)</f>
        <v>3407</v>
      </c>
      <c r="D335" s="302"/>
      <c r="E335" s="303"/>
      <c r="L335" t="s">
        <v>116</v>
      </c>
      <c r="M335" s="252"/>
      <c r="N335" s="304" t="s">
        <v>122</v>
      </c>
      <c r="P335" s="305">
        <f>SUM(P300:P334)</f>
        <v>1693.0499999999997</v>
      </c>
    </row>
    <row r="336" spans="2:19" ht="15" thickBot="1" x14ac:dyDescent="0.25">
      <c r="B336" s="306" t="s">
        <v>123</v>
      </c>
      <c r="C336" s="307">
        <f>C334-C335</f>
        <v>6692</v>
      </c>
      <c r="D336" s="308"/>
      <c r="E336" s="309"/>
      <c r="G336" s="563"/>
      <c r="H336" s="563"/>
      <c r="I336" s="563"/>
      <c r="J336" s="563"/>
      <c r="M336" s="252"/>
    </row>
  </sheetData>
  <mergeCells count="145">
    <mergeCell ref="G314:H314"/>
    <mergeCell ref="G315:H315"/>
    <mergeCell ref="G316:H316"/>
    <mergeCell ref="G319:H319"/>
    <mergeCell ref="G324:H324"/>
    <mergeCell ref="Q324:S324"/>
    <mergeCell ref="Q328:S328"/>
    <mergeCell ref="I334:J334"/>
    <mergeCell ref="G336:J336"/>
    <mergeCell ref="D297:E297"/>
    <mergeCell ref="F297:G297"/>
    <mergeCell ref="H297:I297"/>
    <mergeCell ref="L297:Q297"/>
    <mergeCell ref="B298:C298"/>
    <mergeCell ref="B306:C306"/>
    <mergeCell ref="B308:E308"/>
    <mergeCell ref="G311:H311"/>
    <mergeCell ref="G312:H312"/>
    <mergeCell ref="G273:H273"/>
    <mergeCell ref="G274:H274"/>
    <mergeCell ref="G275:H275"/>
    <mergeCell ref="G278:H278"/>
    <mergeCell ref="G283:H283"/>
    <mergeCell ref="Q283:S283"/>
    <mergeCell ref="Q287:S287"/>
    <mergeCell ref="I293:J293"/>
    <mergeCell ref="G295:J295"/>
    <mergeCell ref="D256:E256"/>
    <mergeCell ref="F256:G256"/>
    <mergeCell ref="H256:I256"/>
    <mergeCell ref="L256:Q256"/>
    <mergeCell ref="B257:C257"/>
    <mergeCell ref="B265:C265"/>
    <mergeCell ref="B267:E267"/>
    <mergeCell ref="G270:H270"/>
    <mergeCell ref="G271:H271"/>
    <mergeCell ref="B10:C10"/>
    <mergeCell ref="D1:E1"/>
    <mergeCell ref="F1:G1"/>
    <mergeCell ref="H1:I1"/>
    <mergeCell ref="L1:Q1"/>
    <mergeCell ref="B2:C2"/>
    <mergeCell ref="G18:H18"/>
    <mergeCell ref="G40:J40"/>
    <mergeCell ref="G20:H20"/>
    <mergeCell ref="G23:H23"/>
    <mergeCell ref="G28:H28"/>
    <mergeCell ref="B12:E12"/>
    <mergeCell ref="G15:H15"/>
    <mergeCell ref="G16:H16"/>
    <mergeCell ref="G17:H17"/>
    <mergeCell ref="G19:H19"/>
    <mergeCell ref="G102:H102"/>
    <mergeCell ref="G105:H105"/>
    <mergeCell ref="D87:E87"/>
    <mergeCell ref="F87:G87"/>
    <mergeCell ref="H87:I87"/>
    <mergeCell ref="L87:Q87"/>
    <mergeCell ref="B88:C88"/>
    <mergeCell ref="Q28:S28"/>
    <mergeCell ref="Q32:S32"/>
    <mergeCell ref="I38:J38"/>
    <mergeCell ref="B52:C52"/>
    <mergeCell ref="B54:E54"/>
    <mergeCell ref="G57:H57"/>
    <mergeCell ref="G58:H58"/>
    <mergeCell ref="G60:H60"/>
    <mergeCell ref="D43:E43"/>
    <mergeCell ref="F43:G43"/>
    <mergeCell ref="H43:I43"/>
    <mergeCell ref="L43:Q43"/>
    <mergeCell ref="B44:C44"/>
    <mergeCell ref="D129:E129"/>
    <mergeCell ref="F129:G129"/>
    <mergeCell ref="H129:I129"/>
    <mergeCell ref="L129:Q129"/>
    <mergeCell ref="B130:C130"/>
    <mergeCell ref="Q74:S74"/>
    <mergeCell ref="I80:J80"/>
    <mergeCell ref="G82:J82"/>
    <mergeCell ref="G61:H61"/>
    <mergeCell ref="G62:H62"/>
    <mergeCell ref="G65:H65"/>
    <mergeCell ref="G70:H70"/>
    <mergeCell ref="Q70:S70"/>
    <mergeCell ref="Q114:S114"/>
    <mergeCell ref="Q118:S118"/>
    <mergeCell ref="I124:J124"/>
    <mergeCell ref="G126:J126"/>
    <mergeCell ref="G104:H104"/>
    <mergeCell ref="G106:H106"/>
    <mergeCell ref="G109:H109"/>
    <mergeCell ref="G114:H114"/>
    <mergeCell ref="B96:C96"/>
    <mergeCell ref="B98:E98"/>
    <mergeCell ref="G101:H101"/>
    <mergeCell ref="Q160:S160"/>
    <mergeCell ref="I166:J166"/>
    <mergeCell ref="G168:J168"/>
    <mergeCell ref="G147:H147"/>
    <mergeCell ref="G148:H148"/>
    <mergeCell ref="G151:H151"/>
    <mergeCell ref="G156:H156"/>
    <mergeCell ref="Q156:S156"/>
    <mergeCell ref="B138:C138"/>
    <mergeCell ref="B140:E140"/>
    <mergeCell ref="G143:H143"/>
    <mergeCell ref="G144:H144"/>
    <mergeCell ref="G146:H146"/>
    <mergeCell ref="B181:C181"/>
    <mergeCell ref="B183:E183"/>
    <mergeCell ref="G186:H186"/>
    <mergeCell ref="G187:H187"/>
    <mergeCell ref="G189:H189"/>
    <mergeCell ref="D172:E172"/>
    <mergeCell ref="F172:G172"/>
    <mergeCell ref="H172:I172"/>
    <mergeCell ref="L172:Q172"/>
    <mergeCell ref="B173:C173"/>
    <mergeCell ref="D214:E214"/>
    <mergeCell ref="F214:G214"/>
    <mergeCell ref="H214:I214"/>
    <mergeCell ref="L214:Q214"/>
    <mergeCell ref="B215:C215"/>
    <mergeCell ref="Q203:S203"/>
    <mergeCell ref="I209:J209"/>
    <mergeCell ref="G211:J211"/>
    <mergeCell ref="G190:H190"/>
    <mergeCell ref="G191:H191"/>
    <mergeCell ref="G194:H194"/>
    <mergeCell ref="G199:H199"/>
    <mergeCell ref="Q199:S199"/>
    <mergeCell ref="Q245:S245"/>
    <mergeCell ref="I251:J251"/>
    <mergeCell ref="G253:J253"/>
    <mergeCell ref="G232:H232"/>
    <mergeCell ref="G233:H233"/>
    <mergeCell ref="G236:H236"/>
    <mergeCell ref="G241:H241"/>
    <mergeCell ref="Q241:S241"/>
    <mergeCell ref="B223:C223"/>
    <mergeCell ref="B225:E225"/>
    <mergeCell ref="G228:H228"/>
    <mergeCell ref="G229:H229"/>
    <mergeCell ref="G231:H23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E10" sqref="E10"/>
    </sheetView>
  </sheetViews>
  <sheetFormatPr defaultRowHeight="14.25" x14ac:dyDescent="0.2"/>
  <cols>
    <col min="1" max="1" width="18.25" bestFit="1" customWidth="1"/>
    <col min="2" max="2" width="9.25" style="286" customWidth="1"/>
    <col min="3" max="4" width="9.25" style="286"/>
    <col min="5" max="5" width="16.25" bestFit="1" customWidth="1"/>
  </cols>
  <sheetData>
    <row r="1" spans="1:6" ht="15" thickBot="1" x14ac:dyDescent="0.25">
      <c r="A1" s="327" t="s">
        <v>130</v>
      </c>
      <c r="B1" s="328" t="s">
        <v>126</v>
      </c>
      <c r="C1" s="328" t="s">
        <v>127</v>
      </c>
      <c r="D1" s="329" t="s">
        <v>128</v>
      </c>
      <c r="E1" s="334" t="s">
        <v>131</v>
      </c>
    </row>
    <row r="2" spans="1:6" x14ac:dyDescent="0.2">
      <c r="A2" t="s">
        <v>129</v>
      </c>
      <c r="B2" s="286">
        <v>29724.699999999997</v>
      </c>
      <c r="C2" s="286">
        <v>1949.62</v>
      </c>
      <c r="D2" s="286">
        <v>8242.5</v>
      </c>
      <c r="E2" s="286">
        <v>70</v>
      </c>
    </row>
    <row r="3" spans="1:6" x14ac:dyDescent="0.2">
      <c r="A3" t="s">
        <v>162</v>
      </c>
      <c r="B3" s="406">
        <v>32368.85</v>
      </c>
      <c r="C3" s="286">
        <v>1581.7399999999998</v>
      </c>
      <c r="D3" s="286">
        <v>10023</v>
      </c>
      <c r="E3" s="286">
        <v>40</v>
      </c>
    </row>
    <row r="4" spans="1:6" x14ac:dyDescent="0.2">
      <c r="A4" t="s">
        <v>169</v>
      </c>
      <c r="B4" s="286">
        <v>29022.440000000002</v>
      </c>
      <c r="C4" s="286">
        <v>1424.5400000000002</v>
      </c>
      <c r="D4" s="286">
        <v>9946</v>
      </c>
      <c r="E4" s="286">
        <v>0</v>
      </c>
    </row>
    <row r="5" spans="1:6" x14ac:dyDescent="0.2">
      <c r="A5" t="s">
        <v>184</v>
      </c>
      <c r="B5" s="286">
        <v>27884.449999999997</v>
      </c>
      <c r="C5" s="286">
        <v>1866.59</v>
      </c>
      <c r="D5" s="286">
        <v>10040</v>
      </c>
      <c r="E5" s="286">
        <v>0</v>
      </c>
    </row>
    <row r="6" spans="1:6" x14ac:dyDescent="0.2">
      <c r="A6" t="s">
        <v>193</v>
      </c>
      <c r="B6" s="286">
        <v>28166.15</v>
      </c>
      <c r="C6" s="286">
        <v>1157.45</v>
      </c>
      <c r="D6" s="286">
        <v>10040.5</v>
      </c>
      <c r="E6" s="286">
        <v>268.64999999999998</v>
      </c>
      <c r="F6" t="s">
        <v>192</v>
      </c>
    </row>
    <row r="7" spans="1:6" x14ac:dyDescent="0.2">
      <c r="A7" t="s">
        <v>194</v>
      </c>
      <c r="B7" s="286">
        <v>30370.710000000003</v>
      </c>
      <c r="C7" s="286">
        <v>1663.95</v>
      </c>
      <c r="D7" s="286">
        <v>10036.5</v>
      </c>
      <c r="E7" s="286">
        <v>0</v>
      </c>
    </row>
    <row r="8" spans="1:6" x14ac:dyDescent="0.2">
      <c r="A8" t="s">
        <v>214</v>
      </c>
      <c r="B8" s="286">
        <v>33249.15</v>
      </c>
      <c r="C8" s="286">
        <v>1650.14</v>
      </c>
      <c r="D8" s="286">
        <v>10166</v>
      </c>
      <c r="E8" s="286">
        <v>25</v>
      </c>
    </row>
    <row r="9" spans="1:6" x14ac:dyDescent="0.2">
      <c r="A9" s="249" t="s">
        <v>220</v>
      </c>
      <c r="B9" s="286">
        <v>33360.29</v>
      </c>
      <c r="C9" s="286">
        <v>1893.0499999999997</v>
      </c>
      <c r="D9" s="286">
        <v>10106</v>
      </c>
      <c r="E9" s="28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2026</vt:lpstr>
      <vt:lpstr>Wage 2026</vt:lpstr>
      <vt:lpstr>Sum 2026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sarit trakulkitcharoen</cp:lastModifiedBy>
  <cp:lastPrinted>2026-04-14T05:18:20Z</cp:lastPrinted>
  <dcterms:created xsi:type="dcterms:W3CDTF">2025-12-15T09:32:40Z</dcterms:created>
  <dcterms:modified xsi:type="dcterms:W3CDTF">2026-04-14T05:18:27Z</dcterms:modified>
</cp:coreProperties>
</file>